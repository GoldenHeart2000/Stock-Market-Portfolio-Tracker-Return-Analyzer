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drawings/drawing6.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mukhe\Downloads\"/>
    </mc:Choice>
  </mc:AlternateContent>
  <xr:revisionPtr revIDLastSave="0" documentId="13_ncr:1_{0C6F5B41-6F70-43C3-8CBF-89E3A6029D68}" xr6:coauthVersionLast="47" xr6:coauthVersionMax="47" xr10:uidLastSave="{00000000-0000-0000-0000-000000000000}"/>
  <bookViews>
    <workbookView xWindow="-108" yWindow="-108" windowWidth="23256" windowHeight="12456" tabRatio="721" firstSheet="1" activeTab="7" xr2:uid="{00000000-000D-0000-FFFF-FFFF00000000}"/>
  </bookViews>
  <sheets>
    <sheet name="Dashboard" sheetId="3" r:id="rId1"/>
    <sheet name="Raw_Stock_Portfolio_Data" sheetId="1" r:id="rId2"/>
    <sheet name="Cleaned Data" sheetId="2" r:id="rId3"/>
    <sheet name="Data Cleaning Process" sheetId="14" r:id="rId4"/>
    <sheet name="Add Stock" sheetId="9" r:id="rId5"/>
    <sheet name="Holdings" sheetId="7" r:id="rId6"/>
    <sheet name="Portfolio Analysis" sheetId="4" r:id="rId7"/>
    <sheet name="Visualization" sheetId="8" r:id="rId8"/>
  </sheets>
  <definedNames>
    <definedName name="Slicer_Broker">#N/A</definedName>
    <definedName name="Slicer_Broker1">#N/A</definedName>
    <definedName name="Slicer_Portfolio_Type">#N/A</definedName>
    <definedName name="Slicer_Portfolio_Type1">#N/A</definedName>
    <definedName name="Slicer_Sector">#N/A</definedName>
    <definedName name="Slicer_Sector1">#N/A</definedName>
  </definedNames>
  <calcPr calcId="191029"/>
  <pivotCaches>
    <pivotCache cacheId="11"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 i="9" l="1" a="1"/>
  <c r="K6" i="9" s="1"/>
  <c r="I6" i="9" a="1"/>
  <c r="I6" i="9" s="1"/>
  <c r="E12" i="9"/>
  <c r="E11" i="9"/>
  <c r="E10" i="9"/>
  <c r="E9" i="9"/>
  <c r="E3" i="9"/>
  <c r="G6" i="7" l="1" a="1"/>
  <c r="G6" i="7" l="1"/>
  <c r="I18" i="7"/>
  <c r="I17" i="7"/>
  <c r="I16" i="7"/>
  <c r="I29" i="7"/>
  <c r="I13" i="7"/>
  <c r="I30" i="7"/>
  <c r="H16" i="7"/>
  <c r="I28" i="7"/>
  <c r="H14" i="7"/>
  <c r="I15" i="7"/>
  <c r="H25" i="7"/>
  <c r="H13" i="7"/>
  <c r="I26" i="7"/>
  <c r="I14" i="7"/>
  <c r="H24" i="7"/>
  <c r="H12" i="7"/>
  <c r="I25" i="7"/>
  <c r="H23" i="7"/>
  <c r="H11" i="7"/>
  <c r="I24" i="7"/>
  <c r="I12" i="7"/>
  <c r="I11" i="7"/>
  <c r="H29" i="7"/>
  <c r="H27" i="7"/>
  <c r="H26" i="7"/>
  <c r="H9" i="7"/>
  <c r="I22" i="7"/>
  <c r="I10" i="7"/>
  <c r="H17" i="7"/>
  <c r="H28" i="7"/>
  <c r="H15" i="7"/>
  <c r="I27" i="7"/>
  <c r="H22" i="7"/>
  <c r="H10" i="7"/>
  <c r="I23" i="7"/>
  <c r="H21" i="7"/>
  <c r="H20" i="7"/>
  <c r="I21" i="7"/>
  <c r="H19" i="7"/>
  <c r="H7" i="7"/>
  <c r="I20" i="7"/>
  <c r="I8" i="7"/>
  <c r="H8" i="7"/>
  <c r="I9" i="7"/>
  <c r="H30" i="7"/>
  <c r="H18" i="7"/>
  <c r="I19" i="7"/>
  <c r="I7" i="7"/>
  <c r="I6" i="7" l="1"/>
  <c r="I31" i="7" s="1"/>
  <c r="H6" i="7"/>
  <c r="E5" i="9" a="1"/>
  <c r="E5" i="9" s="1"/>
  <c r="G87" i="2" l="1"/>
  <c r="G11" i="2"/>
  <c r="G105" i="2"/>
  <c r="G102" i="2"/>
  <c r="G69" i="2"/>
  <c r="G89" i="2"/>
  <c r="H113" i="2"/>
  <c r="G6" i="2"/>
  <c r="G12" i="2"/>
  <c r="G25" i="2"/>
  <c r="G101" i="2"/>
  <c r="H49" i="2"/>
  <c r="H37" i="2"/>
  <c r="H103" i="2"/>
  <c r="G20" i="2"/>
  <c r="G47" i="2"/>
  <c r="G61" i="2"/>
  <c r="G117" i="2"/>
  <c r="G100" i="2"/>
  <c r="H59" i="2"/>
  <c r="G23" i="2"/>
  <c r="G57" i="2"/>
  <c r="H56" i="2"/>
  <c r="G106" i="2"/>
  <c r="G40" i="2"/>
  <c r="H96" i="2"/>
  <c r="G51" i="2"/>
  <c r="G19" i="2"/>
  <c r="G75" i="2"/>
  <c r="G67" i="2"/>
  <c r="H92" i="2"/>
  <c r="H45" i="2"/>
  <c r="H46" i="2"/>
  <c r="H82" i="2"/>
  <c r="G9" i="2"/>
  <c r="H66" i="2"/>
  <c r="G66" i="2"/>
  <c r="G63" i="2"/>
  <c r="G65" i="2"/>
  <c r="H65" i="2"/>
  <c r="G22" i="2"/>
  <c r="G24" i="2"/>
  <c r="G35" i="2"/>
  <c r="G77" i="2"/>
  <c r="H50" i="2"/>
  <c r="G41" i="2"/>
  <c r="H84" i="2"/>
  <c r="H68" i="2"/>
  <c r="G55" i="2"/>
  <c r="G119" i="2"/>
  <c r="G43" i="2"/>
  <c r="G95" i="2"/>
  <c r="H95" i="2"/>
  <c r="G46" i="2"/>
  <c r="G84" i="2"/>
  <c r="G60" i="2"/>
  <c r="H81" i="2"/>
  <c r="G94" i="2"/>
  <c r="G8" i="2"/>
  <c r="G79" i="2"/>
  <c r="K23" i="7" s="1"/>
  <c r="H111" i="2"/>
  <c r="H30" i="2"/>
  <c r="H25" i="2"/>
  <c r="G111" i="2"/>
  <c r="G15" i="2"/>
  <c r="H116" i="2"/>
  <c r="H20" i="2"/>
  <c r="H39" i="2"/>
  <c r="H10" i="2"/>
  <c r="H60" i="2"/>
  <c r="H58" i="2"/>
  <c r="H112" i="2"/>
  <c r="H79" i="2"/>
  <c r="H14" i="2"/>
  <c r="H12" i="2"/>
  <c r="G62" i="2"/>
  <c r="G39" i="2"/>
  <c r="G50" i="2"/>
  <c r="G48" i="2"/>
  <c r="G114" i="2"/>
  <c r="G108" i="2"/>
  <c r="G45" i="2"/>
  <c r="H89" i="2"/>
  <c r="G109" i="2"/>
  <c r="H71" i="2"/>
  <c r="G82" i="2"/>
  <c r="G83" i="2"/>
  <c r="G113" i="2"/>
  <c r="G99" i="2"/>
  <c r="G36" i="2"/>
  <c r="G21" i="2"/>
  <c r="H105" i="2"/>
  <c r="H9" i="2"/>
  <c r="H72" i="2"/>
  <c r="G49" i="2"/>
  <c r="G56" i="2"/>
  <c r="G71" i="2"/>
  <c r="G116" i="2"/>
  <c r="G85" i="2"/>
  <c r="G32" i="2"/>
  <c r="G70" i="2"/>
  <c r="G90" i="2"/>
  <c r="G88" i="2"/>
  <c r="H11" i="2"/>
  <c r="G115" i="2"/>
  <c r="G91" i="2"/>
  <c r="G110" i="2"/>
  <c r="H22" i="2"/>
  <c r="H67" i="2"/>
  <c r="H17" i="2"/>
  <c r="G73" i="2"/>
  <c r="H73" i="2"/>
  <c r="H118" i="2"/>
  <c r="H106" i="2"/>
  <c r="H13" i="2"/>
  <c r="H57" i="2"/>
  <c r="H61" i="2"/>
  <c r="H63" i="2"/>
  <c r="H51" i="2"/>
  <c r="H97" i="2"/>
  <c r="G107" i="2"/>
  <c r="H91" i="2"/>
  <c r="H109" i="2"/>
  <c r="H93" i="2"/>
  <c r="H23" i="2"/>
  <c r="G29" i="2"/>
  <c r="G96" i="2"/>
  <c r="G64" i="2"/>
  <c r="G104" i="2"/>
  <c r="G18" i="2"/>
  <c r="G81" i="2"/>
  <c r="G10" i="2"/>
  <c r="H115" i="2"/>
  <c r="H35" i="2"/>
  <c r="H87" i="2"/>
  <c r="H100" i="2"/>
  <c r="H34" i="2"/>
  <c r="H108" i="2"/>
  <c r="H53" i="2"/>
  <c r="H26" i="2"/>
  <c r="H7" i="2"/>
  <c r="H117" i="2"/>
  <c r="G86" i="2"/>
  <c r="G72" i="2"/>
  <c r="G31" i="2"/>
  <c r="H32" i="2"/>
  <c r="J32" i="2" s="1"/>
  <c r="H21" i="2"/>
  <c r="H94" i="2"/>
  <c r="H114" i="2"/>
  <c r="G30" i="2"/>
  <c r="H99" i="2"/>
  <c r="H78" i="2"/>
  <c r="G54" i="2"/>
  <c r="G27" i="2"/>
  <c r="H16" i="2"/>
  <c r="G93" i="2"/>
  <c r="G52" i="2"/>
  <c r="H86" i="2"/>
  <c r="H19" i="2"/>
  <c r="H62" i="2"/>
  <c r="H75" i="2"/>
  <c r="H74" i="2"/>
  <c r="H8" i="2"/>
  <c r="H70" i="2"/>
  <c r="H47" i="2"/>
  <c r="H28" i="2"/>
  <c r="H41" i="2"/>
  <c r="H18" i="2"/>
  <c r="H110" i="2"/>
  <c r="G17" i="2"/>
  <c r="G37" i="2"/>
  <c r="G97" i="2"/>
  <c r="H36" i="2"/>
  <c r="H24" i="2"/>
  <c r="H90" i="2"/>
  <c r="H69" i="2"/>
  <c r="G38" i="2"/>
  <c r="H38" i="2"/>
  <c r="H31" i="2"/>
  <c r="H85" i="2"/>
  <c r="H33" i="2"/>
  <c r="H77" i="2"/>
  <c r="H101" i="2"/>
  <c r="H88" i="2"/>
  <c r="H15" i="2"/>
  <c r="H102" i="2"/>
  <c r="H43" i="2"/>
  <c r="G16" i="2"/>
  <c r="G33" i="2"/>
  <c r="G68" i="2"/>
  <c r="G28" i="2"/>
  <c r="G53" i="2"/>
  <c r="G26" i="2"/>
  <c r="G103" i="2"/>
  <c r="G7" i="2"/>
  <c r="H48" i="2"/>
  <c r="G14" i="2"/>
  <c r="G78" i="2"/>
  <c r="G58" i="2"/>
  <c r="H40" i="2"/>
  <c r="H27" i="2"/>
  <c r="H83" i="2"/>
  <c r="H104" i="2"/>
  <c r="H44" i="2"/>
  <c r="H55" i="2"/>
  <c r="H29" i="2"/>
  <c r="H76" i="2"/>
  <c r="G80" i="2"/>
  <c r="G5" i="2"/>
  <c r="H52" i="2"/>
  <c r="H5" i="2"/>
  <c r="H6" i="2"/>
  <c r="H98" i="2"/>
  <c r="H54" i="2"/>
  <c r="H80" i="2"/>
  <c r="H64" i="2"/>
  <c r="G76" i="2"/>
  <c r="G44" i="2"/>
  <c r="G74" i="2"/>
  <c r="G112" i="2"/>
  <c r="H42" i="2"/>
  <c r="G42" i="2"/>
  <c r="H107" i="2"/>
  <c r="G118" i="2"/>
  <c r="H119" i="2"/>
  <c r="G13" i="2"/>
  <c r="G98" i="2"/>
  <c r="G59" i="2"/>
  <c r="G92" i="2"/>
  <c r="G34" i="2"/>
  <c r="J21" i="2" l="1"/>
  <c r="J80" i="2"/>
  <c r="J35" i="2"/>
  <c r="I81" i="2"/>
  <c r="J67" i="2"/>
  <c r="I10" i="2"/>
  <c r="J87" i="2"/>
  <c r="I8" i="2"/>
  <c r="J25" i="2"/>
  <c r="J100" i="2"/>
  <c r="J105" i="2"/>
  <c r="K25" i="7"/>
  <c r="J57" i="2"/>
  <c r="J61" i="2"/>
  <c r="J51" i="2"/>
  <c r="J23" i="2"/>
  <c r="J54" i="2"/>
  <c r="J99" i="2"/>
  <c r="J62" i="2"/>
  <c r="J75" i="2"/>
  <c r="J70" i="2"/>
  <c r="J18" i="2"/>
  <c r="J110" i="2"/>
  <c r="K20" i="7"/>
  <c r="I97" i="2"/>
  <c r="J36" i="2"/>
  <c r="J64" i="2"/>
  <c r="J119" i="2"/>
  <c r="J31" i="2"/>
  <c r="J85" i="2"/>
  <c r="J77" i="2"/>
  <c r="J101" i="2"/>
  <c r="J102" i="2"/>
  <c r="J83" i="2"/>
  <c r="J104" i="2"/>
  <c r="J6" i="2"/>
  <c r="J113" i="2"/>
  <c r="J95" i="2"/>
  <c r="I95" i="2"/>
  <c r="J8" i="2"/>
  <c r="J47" i="2"/>
  <c r="J19" i="2"/>
  <c r="J52" i="2"/>
  <c r="J27" i="2"/>
  <c r="J38" i="2"/>
  <c r="J90" i="2"/>
  <c r="J69" i="2"/>
  <c r="J68" i="2"/>
  <c r="J7" i="2"/>
  <c r="J9" i="2"/>
  <c r="J33" i="2"/>
  <c r="J84" i="2"/>
  <c r="J41" i="2"/>
  <c r="J42" i="2"/>
  <c r="J65" i="2"/>
  <c r="J117" i="2"/>
  <c r="J96" i="2"/>
  <c r="J5" i="2"/>
  <c r="J78" i="2"/>
  <c r="J106" i="2"/>
  <c r="J13" i="2"/>
  <c r="J55" i="2"/>
  <c r="J15" i="2"/>
  <c r="J63" i="2"/>
  <c r="J116" i="2"/>
  <c r="J98" i="2"/>
  <c r="I11" i="2"/>
  <c r="J11" i="2"/>
  <c r="I12" i="2"/>
  <c r="J12" i="2"/>
  <c r="J26" i="2"/>
  <c r="J72" i="2"/>
  <c r="J14" i="2"/>
  <c r="J30" i="2"/>
  <c r="J103" i="2"/>
  <c r="J86" i="2"/>
  <c r="J40" i="2"/>
  <c r="J53" i="2"/>
  <c r="J93" i="2"/>
  <c r="J118" i="2"/>
  <c r="J71" i="2"/>
  <c r="J23" i="7"/>
  <c r="L23" i="7" s="1"/>
  <c r="M23" i="7" s="1"/>
  <c r="J79" i="2"/>
  <c r="J111" i="2"/>
  <c r="J66" i="2"/>
  <c r="J37" i="2"/>
  <c r="J16" i="2"/>
  <c r="I108" i="2"/>
  <c r="J108" i="2"/>
  <c r="I73" i="2"/>
  <c r="J73" i="2"/>
  <c r="J112" i="2"/>
  <c r="J50" i="2"/>
  <c r="J56" i="2"/>
  <c r="J49" i="2"/>
  <c r="I48" i="2"/>
  <c r="J48" i="2"/>
  <c r="J28" i="2"/>
  <c r="I114" i="2"/>
  <c r="J114" i="2"/>
  <c r="J34" i="2"/>
  <c r="J109" i="2"/>
  <c r="J89" i="2"/>
  <c r="J58" i="2"/>
  <c r="J82" i="2"/>
  <c r="J76" i="2"/>
  <c r="I94" i="2"/>
  <c r="J94" i="2"/>
  <c r="J91" i="2"/>
  <c r="J17" i="2"/>
  <c r="J60" i="2"/>
  <c r="J46" i="2"/>
  <c r="J10" i="2"/>
  <c r="J81" i="2"/>
  <c r="J45" i="2"/>
  <c r="J59" i="2"/>
  <c r="J29" i="2"/>
  <c r="I43" i="2"/>
  <c r="J43" i="2"/>
  <c r="J97" i="2"/>
  <c r="J22" i="2"/>
  <c r="J39" i="2"/>
  <c r="J92" i="2"/>
  <c r="I88" i="2"/>
  <c r="J88" i="2"/>
  <c r="J107" i="2"/>
  <c r="J44" i="2"/>
  <c r="J13" i="7"/>
  <c r="J24" i="2"/>
  <c r="J74" i="2"/>
  <c r="J115" i="2"/>
  <c r="J20" i="2"/>
  <c r="I62" i="2"/>
  <c r="I56" i="2"/>
  <c r="I51" i="2"/>
  <c r="K19" i="7"/>
  <c r="I15" i="2"/>
  <c r="I83" i="2"/>
  <c r="I82" i="2"/>
  <c r="I31" i="2"/>
  <c r="I74" i="2"/>
  <c r="K14" i="7"/>
  <c r="I67" i="2"/>
  <c r="I90" i="2"/>
  <c r="I29" i="2"/>
  <c r="J18" i="7"/>
  <c r="I106" i="2"/>
  <c r="I99" i="2"/>
  <c r="K12" i="7"/>
  <c r="I86" i="2"/>
  <c r="I68" i="2"/>
  <c r="J28" i="7"/>
  <c r="K30" i="7"/>
  <c r="K8" i="7"/>
  <c r="K10" i="7"/>
  <c r="I116" i="2"/>
  <c r="K9" i="7"/>
  <c r="I107" i="2"/>
  <c r="I41" i="2"/>
  <c r="I49" i="2"/>
  <c r="I98" i="2"/>
  <c r="I22" i="2"/>
  <c r="I61" i="2"/>
  <c r="K22" i="7"/>
  <c r="J8" i="7"/>
  <c r="J26" i="7"/>
  <c r="J15" i="7"/>
  <c r="J12" i="7"/>
  <c r="J22" i="7"/>
  <c r="J19" i="7"/>
  <c r="J29" i="7"/>
  <c r="I28" i="2"/>
  <c r="I34" i="2"/>
  <c r="K16" i="7"/>
  <c r="I46" i="2"/>
  <c r="K7" i="7"/>
  <c r="K27" i="7"/>
  <c r="J10" i="7"/>
  <c r="I52" i="2"/>
  <c r="J14" i="7"/>
  <c r="I27" i="2"/>
  <c r="I91" i="2"/>
  <c r="J20" i="7"/>
  <c r="K28" i="7"/>
  <c r="K18" i="7"/>
  <c r="K17" i="7"/>
  <c r="J27" i="7"/>
  <c r="K29" i="7"/>
  <c r="J25" i="7"/>
  <c r="J6" i="7"/>
  <c r="J17" i="7"/>
  <c r="I93" i="2"/>
  <c r="J9" i="7"/>
  <c r="I70" i="2"/>
  <c r="J16" i="7"/>
  <c r="I32" i="2"/>
  <c r="J11" i="7"/>
  <c r="J24" i="7"/>
  <c r="J30" i="7"/>
  <c r="K11" i="7"/>
  <c r="K24" i="7"/>
  <c r="K26" i="7"/>
  <c r="I26" i="2"/>
  <c r="K15" i="7"/>
  <c r="I6" i="2"/>
  <c r="J21" i="7"/>
  <c r="I77" i="2"/>
  <c r="I7" i="2"/>
  <c r="I115" i="2"/>
  <c r="I20" i="2"/>
  <c r="J7" i="7"/>
  <c r="K13" i="7"/>
  <c r="K21" i="7"/>
  <c r="K6" i="7"/>
  <c r="I30" i="2"/>
  <c r="I47" i="2"/>
  <c r="I72" i="2"/>
  <c r="I14" i="2"/>
  <c r="I44" i="2"/>
  <c r="I36" i="2"/>
  <c r="I75" i="2"/>
  <c r="I18" i="2"/>
  <c r="I113" i="2"/>
  <c r="I80" i="2"/>
  <c r="I19" i="2"/>
  <c r="I59" i="2"/>
  <c r="I5" i="2"/>
  <c r="I84" i="2"/>
  <c r="I104" i="2"/>
  <c r="I64" i="2"/>
  <c r="I63" i="2"/>
  <c r="I53" i="2"/>
  <c r="I110" i="2"/>
  <c r="I57" i="2"/>
  <c r="I105" i="2"/>
  <c r="I109" i="2"/>
  <c r="I35" i="2"/>
  <c r="I101" i="2"/>
  <c r="I65" i="2"/>
  <c r="I112" i="2"/>
  <c r="I117" i="2"/>
  <c r="I79" i="2"/>
  <c r="I21" i="2"/>
  <c r="I89" i="2"/>
  <c r="I69" i="2"/>
  <c r="I42" i="2"/>
  <c r="I85" i="2"/>
  <c r="I102" i="2"/>
  <c r="I100" i="2"/>
  <c r="I13" i="2"/>
  <c r="I37" i="2"/>
  <c r="I66" i="2"/>
  <c r="I39" i="2"/>
  <c r="I58" i="2"/>
  <c r="I9" i="2"/>
  <c r="I71" i="2"/>
  <c r="I78" i="2"/>
  <c r="I33" i="2"/>
  <c r="I45" i="2"/>
  <c r="I50" i="2"/>
  <c r="I87" i="2"/>
  <c r="I24" i="2"/>
  <c r="I38" i="2"/>
  <c r="I40" i="2"/>
  <c r="I55" i="2"/>
  <c r="I76" i="2"/>
  <c r="I54" i="2"/>
  <c r="I92" i="2"/>
  <c r="I111" i="2"/>
  <c r="I25" i="2"/>
  <c r="I60" i="2"/>
  <c r="I23" i="2"/>
  <c r="I96" i="2"/>
  <c r="I17" i="2"/>
  <c r="I16" i="2"/>
  <c r="I103" i="2"/>
  <c r="I118" i="2"/>
  <c r="I119" i="2"/>
  <c r="A16" i="3" l="1"/>
  <c r="A9" i="3"/>
  <c r="L28" i="7"/>
  <c r="M28" i="7" s="1"/>
  <c r="L13" i="7"/>
  <c r="M13" i="7" s="1"/>
  <c r="L18" i="7"/>
  <c r="M18" i="7" s="1"/>
  <c r="N28" i="7"/>
  <c r="L24" i="7"/>
  <c r="M24" i="7" s="1"/>
  <c r="N24" i="7"/>
  <c r="K31" i="7"/>
  <c r="N11" i="7"/>
  <c r="L11" i="7"/>
  <c r="M11" i="7" s="1"/>
  <c r="N14" i="7"/>
  <c r="L21" i="7"/>
  <c r="M21" i="7" s="1"/>
  <c r="N21" i="7"/>
  <c r="N26" i="7"/>
  <c r="N7" i="7"/>
  <c r="L7" i="7"/>
  <c r="M7" i="7" s="1"/>
  <c r="L10" i="7"/>
  <c r="M10" i="7" s="1"/>
  <c r="N10" i="7"/>
  <c r="N19" i="7"/>
  <c r="L19" i="7"/>
  <c r="M19" i="7" s="1"/>
  <c r="N25" i="7"/>
  <c r="N27" i="7"/>
  <c r="L27" i="7"/>
  <c r="M27" i="7" s="1"/>
  <c r="N23" i="7"/>
  <c r="N9" i="7"/>
  <c r="N13" i="7"/>
  <c r="L15" i="7"/>
  <c r="M15" i="7" s="1"/>
  <c r="N15" i="7"/>
  <c r="L16" i="7"/>
  <c r="M16" i="7" s="1"/>
  <c r="N16" i="7"/>
  <c r="L8" i="7"/>
  <c r="M8" i="7" s="1"/>
  <c r="N8" i="7"/>
  <c r="N18" i="7"/>
  <c r="L26" i="7"/>
  <c r="M26" i="7" s="1"/>
  <c r="N17" i="7"/>
  <c r="L17" i="7"/>
  <c r="M17" i="7" s="1"/>
  <c r="L20" i="7"/>
  <c r="M20" i="7" s="1"/>
  <c r="N20" i="7"/>
  <c r="L22" i="7"/>
  <c r="M22" i="7" s="1"/>
  <c r="N22" i="7"/>
  <c r="L29" i="7"/>
  <c r="M29" i="7" s="1"/>
  <c r="N29" i="7"/>
  <c r="L25" i="7"/>
  <c r="M25" i="7" s="1"/>
  <c r="L9" i="7"/>
  <c r="M9" i="7" s="1"/>
  <c r="L14" i="7"/>
  <c r="M14" i="7" s="1"/>
  <c r="L30" i="7"/>
  <c r="M30" i="7" s="1"/>
  <c r="N30" i="7"/>
  <c r="N6" i="7"/>
  <c r="J31" i="7"/>
  <c r="L6" i="7"/>
  <c r="N12" i="7"/>
  <c r="L12" i="7"/>
  <c r="M12" i="7" s="1"/>
  <c r="I9" i="3" l="1"/>
  <c r="I16" i="3" s="1"/>
  <c r="M6" i="7"/>
  <c r="L31" i="7"/>
  <c r="M31" i="7" s="1"/>
  <c r="N31"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<sst xmlns="http://schemas.openxmlformats.org/spreadsheetml/2006/main" count="1298" uniqueCount="230">
  <si>
    <t>Date</t>
  </si>
  <si>
    <t>Stock_Name</t>
  </si>
  <si>
    <t>Sector</t>
  </si>
  <si>
    <t>Buy_Price</t>
  </si>
  <si>
    <t>Current_Price</t>
  </si>
  <si>
    <t>Quantity</t>
  </si>
  <si>
    <t>Broker</t>
  </si>
  <si>
    <t>Portfolio_Type</t>
  </si>
  <si>
    <t>20-Apr-2025</t>
  </si>
  <si>
    <t>WIPRO</t>
  </si>
  <si>
    <t>IT</t>
  </si>
  <si>
    <t>Groww</t>
  </si>
  <si>
    <t>Swing</t>
  </si>
  <si>
    <t>02-Feb-2025</t>
  </si>
  <si>
    <t>SBIN</t>
  </si>
  <si>
    <t>Banking</t>
  </si>
  <si>
    <t>Long Term</t>
  </si>
  <si>
    <t>HDFCBANK</t>
  </si>
  <si>
    <t>Intraday</t>
  </si>
  <si>
    <t>11-Feb-2025</t>
  </si>
  <si>
    <t>ASIANPAINT</t>
  </si>
  <si>
    <t>Consumer Durables</t>
  </si>
  <si>
    <t>Angel One</t>
  </si>
  <si>
    <t>18-Jan-2025</t>
  </si>
  <si>
    <t>BHARTIARTL</t>
  </si>
  <si>
    <t>Telecom</t>
  </si>
  <si>
    <t>LT</t>
  </si>
  <si>
    <t>Infrastructure</t>
  </si>
  <si>
    <t>31-Jan-2025</t>
  </si>
  <si>
    <t>AXISBANK</t>
  </si>
  <si>
    <t>Zerodha</t>
  </si>
  <si>
    <t>16-Apr-2025</t>
  </si>
  <si>
    <t>13-Jan-2025</t>
  </si>
  <si>
    <t>CIPLA</t>
  </si>
  <si>
    <t>Pharma</t>
  </si>
  <si>
    <t>Upstox</t>
  </si>
  <si>
    <t>17-Feb-2025</t>
  </si>
  <si>
    <t>ICICI Direct</t>
  </si>
  <si>
    <t>12-Mar-2025</t>
  </si>
  <si>
    <t>15-Apr-2025</t>
  </si>
  <si>
    <t>TECHM</t>
  </si>
  <si>
    <t>06-Mar-2025</t>
  </si>
  <si>
    <t>NESTLEIND</t>
  </si>
  <si>
    <t>FMCG</t>
  </si>
  <si>
    <t>14-Apr-2025</t>
  </si>
  <si>
    <t>UNKNOWN123</t>
  </si>
  <si>
    <t>17-Jan-2025</t>
  </si>
  <si>
    <t>ADANIENT</t>
  </si>
  <si>
    <t>Conglomerate</t>
  </si>
  <si>
    <t>05-Mar-2025</t>
  </si>
  <si>
    <t>TITAN</t>
  </si>
  <si>
    <t>18-Feb-2025</t>
  </si>
  <si>
    <t>BAJFINANCE</t>
  </si>
  <si>
    <t>Finance</t>
  </si>
  <si>
    <t>15-Jan-2025</t>
  </si>
  <si>
    <t>MARUTI</t>
  </si>
  <si>
    <t>Auto</t>
  </si>
  <si>
    <t>28-Jan-2025</t>
  </si>
  <si>
    <t>15-Mar-2025</t>
  </si>
  <si>
    <t>21-Apr-2025</t>
  </si>
  <si>
    <t>POWERGRID</t>
  </si>
  <si>
    <t>Power</t>
  </si>
  <si>
    <t>24-Feb-2025</t>
  </si>
  <si>
    <t>ULTRACEMCO</t>
  </si>
  <si>
    <t>Cement</t>
  </si>
  <si>
    <t>27-Mar-2025</t>
  </si>
  <si>
    <t>HCLTECH</t>
  </si>
  <si>
    <t>28-Apr-2025</t>
  </si>
  <si>
    <t>07-Jan-2025</t>
  </si>
  <si>
    <t>ICICIBANK</t>
  </si>
  <si>
    <t>COALINDIA</t>
  </si>
  <si>
    <t>Mining</t>
  </si>
  <si>
    <t>30-Mar-2025</t>
  </si>
  <si>
    <t>INFY</t>
  </si>
  <si>
    <t>04-Apr-2025</t>
  </si>
  <si>
    <t>18-Mar-2025</t>
  </si>
  <si>
    <t>SUNPHARMA</t>
  </si>
  <si>
    <t>03-Jan-2025</t>
  </si>
  <si>
    <t>23-Feb-2025</t>
  </si>
  <si>
    <t>NTPC</t>
  </si>
  <si>
    <t>25-Feb-2025</t>
  </si>
  <si>
    <t>15-Feb-2025</t>
  </si>
  <si>
    <t>21-Mar-2025</t>
  </si>
  <si>
    <t>12-Jan-2025</t>
  </si>
  <si>
    <t>19-Jan-2025</t>
  </si>
  <si>
    <t>28-Feb-2025</t>
  </si>
  <si>
    <t>03-Feb-2025</t>
  </si>
  <si>
    <t>30-Jan-2025</t>
  </si>
  <si>
    <t>ITC</t>
  </si>
  <si>
    <t>02-Apr-2025</t>
  </si>
  <si>
    <t>23-Apr-2025</t>
  </si>
  <si>
    <t>09-Apr-2025</t>
  </si>
  <si>
    <t>26-Feb-2025</t>
  </si>
  <si>
    <t>07-Mar-2025</t>
  </si>
  <si>
    <t>03-Mar-2025</t>
  </si>
  <si>
    <t>29-Apr-2025</t>
  </si>
  <si>
    <t>05-Jan-2025</t>
  </si>
  <si>
    <t>22-Apr-2025</t>
  </si>
  <si>
    <t>24-Mar-2025</t>
  </si>
  <si>
    <t>24-Jan-2025</t>
  </si>
  <si>
    <t>01-May-2025</t>
  </si>
  <si>
    <t>08-Feb-2025</t>
  </si>
  <si>
    <t>14-Mar-2025</t>
  </si>
  <si>
    <t>20-Jan-2025</t>
  </si>
  <si>
    <t>21-Jan-2025</t>
  </si>
  <si>
    <t>TCS</t>
  </si>
  <si>
    <t>03-Apr-2025</t>
  </si>
  <si>
    <t>07-Apr-2025</t>
  </si>
  <si>
    <t>27-Apr-2025</t>
  </si>
  <si>
    <t>08-Apr-2025</t>
  </si>
  <si>
    <t>01-Jan-2025</t>
  </si>
  <si>
    <t>16-Mar-2025</t>
  </si>
  <si>
    <t>07-Feb-2025</t>
  </si>
  <si>
    <t>22-Mar-2025</t>
  </si>
  <si>
    <t>25-Apr-2025</t>
  </si>
  <si>
    <t>12-Feb-2025</t>
  </si>
  <si>
    <t>06-Apr-2025</t>
  </si>
  <si>
    <t>08-Jan-2025</t>
  </si>
  <si>
    <t>29-Jan-2025</t>
  </si>
  <si>
    <t>20-Mar-2025</t>
  </si>
  <si>
    <t>29-Mar-2025</t>
  </si>
  <si>
    <t>RELIANCE</t>
  </si>
  <si>
    <t>Energy</t>
  </si>
  <si>
    <t>26-Apr-2025</t>
  </si>
  <si>
    <t>04-Mar-2025</t>
  </si>
  <si>
    <t>09-Feb-2025</t>
  </si>
  <si>
    <t>26-Mar-2025</t>
  </si>
  <si>
    <t>13-Mar-2025</t>
  </si>
  <si>
    <t>18-Apr-2025</t>
  </si>
  <si>
    <t>Return%</t>
  </si>
  <si>
    <t>Investment_Value</t>
  </si>
  <si>
    <t>Current_Value</t>
  </si>
  <si>
    <t>📈  NIFTY 50 STOCK MARKET PORTFOLIO TRACKER  &amp;  RETURN ANALYZER</t>
  </si>
  <si>
    <t>Total Invested (₹)</t>
  </si>
  <si>
    <t>Portfolio Value (₹)</t>
  </si>
  <si>
    <t>Overall ROI (%)</t>
  </si>
  <si>
    <t>Net P/L (₹)</t>
  </si>
  <si>
    <t>Profit/Loss</t>
  </si>
  <si>
    <t>Stock</t>
  </si>
  <si>
    <t>Add Stock</t>
  </si>
  <si>
    <t>Qty</t>
  </si>
  <si>
    <t>Current Price</t>
  </si>
  <si>
    <t>Market Value</t>
  </si>
  <si>
    <t>P/L</t>
  </si>
  <si>
    <t>ROI (%)</t>
  </si>
  <si>
    <t>Invested</t>
  </si>
  <si>
    <t>Allocation</t>
  </si>
  <si>
    <t>Totals</t>
  </si>
  <si>
    <t>Data After Cleaning</t>
  </si>
  <si>
    <t>Dataset of individual stock buying orders</t>
  </si>
  <si>
    <t>Serial</t>
  </si>
  <si>
    <t>Buy_price</t>
  </si>
  <si>
    <t>Current_price</t>
  </si>
  <si>
    <t>Portfolio_type</t>
  </si>
  <si>
    <t>Buy Price</t>
  </si>
  <si>
    <t>Portfolio Type</t>
  </si>
  <si>
    <t>Total Invested</t>
  </si>
  <si>
    <t>ROI</t>
  </si>
  <si>
    <t>Row Labels</t>
  </si>
  <si>
    <t>Grand Total</t>
  </si>
  <si>
    <t>My Holdings</t>
  </si>
  <si>
    <t>Sum of Investment_Value</t>
  </si>
  <si>
    <t>Sum of Current_Value</t>
  </si>
  <si>
    <t>Sum of Profit/Loss</t>
  </si>
  <si>
    <t>Count of Portfolio_Type</t>
  </si>
  <si>
    <t>New Stock</t>
  </si>
  <si>
    <t>Pivot Table 1</t>
  </si>
  <si>
    <t>Pivot Table 3</t>
  </si>
  <si>
    <t>Pivot Table 4</t>
  </si>
  <si>
    <t>Pivot Table 2</t>
  </si>
  <si>
    <t>Cleaned Data</t>
  </si>
  <si>
    <t>Portfolio Analysis</t>
  </si>
  <si>
    <t>Visualization</t>
  </si>
  <si>
    <t>NIFTY 50 STOCK MARKET PORTFOLIO TRACKER
&amp; RETURN ANALYZER VISUALIZATION</t>
  </si>
  <si>
    <t>Raw Data</t>
  </si>
  <si>
    <t>Step No</t>
  </si>
  <si>
    <t>Cleaning Process</t>
  </si>
  <si>
    <t>Problem Found</t>
  </si>
  <si>
    <t>Solution Used</t>
  </si>
  <si>
    <t>Removed Blank Current Price Rows</t>
  </si>
  <si>
    <t>Missing current prices</t>
  </si>
  <si>
    <t>Deleted rows with blank current prices</t>
  </si>
  <si>
    <t>Filled Missing Sector Names</t>
  </si>
  <si>
    <t>Blank sector values</t>
  </si>
  <si>
    <t>Filled correct sector names manually/XLOOKUP</t>
  </si>
  <si>
    <t>Removed Negative Quantity</t>
  </si>
  <si>
    <t>Negative quantities found</t>
  </si>
  <si>
    <t>Converted negative quantities to positive</t>
  </si>
  <si>
    <t>Removed Negative Buy Price</t>
  </si>
  <si>
    <t>Negative buy prices found</t>
  </si>
  <si>
    <t>Converted negative buy prices to positive</t>
  </si>
  <si>
    <t>Calculated Investment Value</t>
  </si>
  <si>
    <t>Needed total invested amount</t>
  </si>
  <si>
    <t>Buy Price × Quantity</t>
  </si>
  <si>
    <t>Calculated Current Value</t>
  </si>
  <si>
    <t>Needed current holding value</t>
  </si>
  <si>
    <t>Current Price × Quantity</t>
  </si>
  <si>
    <t>Calculated Profit/Loss</t>
  </si>
  <si>
    <t>Needed profit analysis</t>
  </si>
  <si>
    <t>Current Value - Investment Value</t>
  </si>
  <si>
    <t>Calculated Return %</t>
  </si>
  <si>
    <t>Needed percentage return</t>
  </si>
  <si>
    <t>Profit percentage formula</t>
  </si>
  <si>
    <t>Applied Conditional Formatting</t>
  </si>
  <si>
    <t>Difficult to identify profit/loss visually</t>
  </si>
  <si>
    <t>Added colors and icons</t>
  </si>
  <si>
    <t>Added Icon Set</t>
  </si>
  <si>
    <t>Needed visual indicators</t>
  </si>
  <si>
    <t>Green ↑, Red ↓, Orange ●</t>
  </si>
  <si>
    <t>Removed Duplicate Records</t>
  </si>
  <si>
    <t>Duplicate rows present</t>
  </si>
  <si>
    <t>Removed duplicate entries</t>
  </si>
  <si>
    <t>Standardized Text Format</t>
  </si>
  <si>
    <t>Inconsistent text/spaces</t>
  </si>
  <si>
    <t>Cleaned text formatting</t>
  </si>
  <si>
    <t>Converted Dataset into Table</t>
  </si>
  <si>
    <t>Better analysis required</t>
  </si>
  <si>
    <t>Converted dataset into Excel Table</t>
  </si>
  <si>
    <t>Added Data Validation</t>
  </si>
  <si>
    <t>Prevent future negative entries</t>
  </si>
  <si>
    <t>Restricted invalid entries</t>
  </si>
  <si>
    <t>Created Pivot Tables &amp; Charts</t>
  </si>
  <si>
    <t>Dashboard analysis required</t>
  </si>
  <si>
    <t>Added pivot analysis</t>
  </si>
  <si>
    <t>Added Slicers</t>
  </si>
  <si>
    <t>Interactive dashboard filtering</t>
  </si>
  <si>
    <t>Added slicers to pivot charts</t>
  </si>
  <si>
    <t>Added Macros</t>
  </si>
  <si>
    <t>Automation required</t>
  </si>
  <si>
    <t>Added macro buttons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</si>
</sst>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00_);_(* \(#,##0.00\);_(* &quot;-&quot;??_);_(@_)"/>
    <numFmt numFmtId="165" formatCode="[$-F800]dddd\,\ mmmm\ dd\,\ yyyy"/>
  </numFmts>
  <fonts count="22"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20"/>
      <color rgb="FF7030A0"/>
      <name val="Arial"/>
      <family val="2"/>
    </font>
    <font>
      <b/>
      <sz val="12"/>
      <color theme="0"/>
      <name val="Calibri"/>
      <family val="2"/>
      <scheme val="minor"/>
    </font>
    <font>
      <b/>
      <sz val="14"/>
      <color theme="0"/>
      <name val="Calibri"/>
      <family val="2"/>
      <scheme val="minor"/>
    </font>
    <font>
      <b/>
      <sz val="16"/>
      <color theme="0"/>
      <name val="Calibri"/>
      <family val="2"/>
      <scheme val="minor"/>
    </font>
    <font>
      <sz val="14"/>
      <color theme="1"/>
      <name val="Calibri"/>
      <family val="2"/>
      <scheme val="minor"/>
    </font>
    <font>
      <b/>
      <sz val="20"/>
      <color theme="0"/>
      <name val="Calibri"/>
      <family val="2"/>
      <scheme val="minor"/>
    </font>
    <font>
      <b/>
      <sz val="20"/>
      <color theme="9" tint="-0.249977111117893"/>
      <name val="Arial"/>
      <family val="2"/>
    </font>
    <font>
      <sz val="10"/>
      <color theme="1"/>
      <name val="Calibri"/>
      <family val="2"/>
      <scheme val="minor"/>
    </font>
    <font>
      <b/>
      <sz val="20"/>
      <color theme="3" tint="0.39997558519241921"/>
      <name val="Calibri"/>
      <family val="2"/>
      <scheme val="minor"/>
    </font>
    <font>
      <b/>
      <sz val="20"/>
      <color theme="6"/>
      <name val="Calibri"/>
      <family val="2"/>
      <scheme val="minor"/>
    </font>
    <font>
      <sz val="18"/>
      <color theme="3"/>
      <name val="Calibri"/>
      <family val="2"/>
      <scheme val="minor"/>
    </font>
    <font>
      <sz val="16"/>
      <color theme="1"/>
      <name val="Calibri"/>
      <family val="2"/>
      <scheme val="minor"/>
    </font>
    <font>
      <b/>
      <sz val="14"/>
      <color theme="1"/>
      <name val="Calibri"/>
      <family val="2"/>
      <scheme val="minor"/>
    </font>
    <font>
      <b/>
      <sz val="16"/>
      <color theme="1"/>
      <name val="Calibri"/>
      <family val="2"/>
      <scheme val="minor"/>
    </font>
    <font>
      <u/>
      <sz val="11"/>
      <color theme="10"/>
      <name val="Calibri"/>
      <family val="2"/>
      <scheme val="minor"/>
    </font>
    <font>
      <b/>
      <u/>
      <sz val="16"/>
      <color theme="10"/>
      <name val="Calibri"/>
      <family val="2"/>
      <scheme val="minor"/>
    </font>
    <font>
      <b/>
      <sz val="11"/>
      <color rgb="FFFFFFFF"/>
      <name val="Calibri"/>
      <family val="2"/>
    </font>
  </fonts>
  <fills count="24">
    <fill>
      <patternFill patternType="none"/>
    </fill>
    <fill>
      <patternFill patternType="gray125"/>
    </fill>
    <fill>
      <patternFill patternType="solid">
        <fgColor rgb="FF003366"/>
        <bgColor indexed="64"/>
      </patternFill>
    </fill>
    <fill>
      <patternFill patternType="solid">
        <fgColor theme="3" tint="0.39997558519241921"/>
        <bgColor indexed="64"/>
      </patternFill>
    </fill>
    <fill>
      <patternFill patternType="solid">
        <fgColor theme="6"/>
        <bgColor indexed="64"/>
      </patternFill>
    </fill>
    <fill>
      <patternFill patternType="solid">
        <fgColor theme="9"/>
        <bgColor indexed="64"/>
      </patternFill>
    </fill>
    <fill>
      <patternFill patternType="solid">
        <fgColor rgb="FF7030A0"/>
        <bgColor indexed="64"/>
      </patternFill>
    </fill>
    <fill>
      <patternFill patternType="solid">
        <fgColor theme="0"/>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1" tint="4.9989318521683403E-2"/>
        <bgColor indexed="64"/>
      </patternFill>
    </fill>
    <fill>
      <patternFill patternType="solid">
        <fgColor theme="3" tint="-0.249977111117893"/>
        <bgColor indexed="64"/>
      </patternFill>
    </fill>
    <fill>
      <patternFill patternType="solid">
        <fgColor rgb="FF008A3E"/>
        <bgColor indexed="64"/>
      </patternFill>
    </fill>
    <fill>
      <patternFill patternType="solid">
        <fgColor theme="6" tint="0.59999389629810485"/>
        <bgColor indexed="64"/>
      </patternFill>
    </fill>
    <fill>
      <patternFill patternType="solid">
        <fgColor rgb="FF9BFFC8"/>
        <bgColor indexed="64"/>
      </patternFill>
    </fill>
    <fill>
      <patternFill patternType="solid">
        <fgColor rgb="FF92D05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theme="3" tint="0.59999389629810485"/>
        <bgColor indexed="64"/>
      </patternFill>
    </fill>
    <fill>
      <patternFill patternType="solid">
        <fgColor rgb="FF4472C4"/>
      </patternFill>
    </fill>
    <fill>
      <patternFill patternType="solid">
        <fgColor rgb="FFFDE9D9"/>
      </patternFill>
    </fill>
    <fill>
      <patternFill patternType="solid">
        <fgColor rgb="FFE2F0D9"/>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1"/>
      </left>
      <right style="thin">
        <color theme="1"/>
      </right>
      <top style="thin">
        <color theme="1"/>
      </top>
      <bottom style="thin">
        <color theme="1"/>
      </bottom>
      <diagonal/>
    </border>
    <border>
      <left style="thin">
        <color theme="1" tint="0.499984740745262"/>
      </left>
      <right/>
      <top style="thin">
        <color theme="1" tint="0.499984740745262"/>
      </top>
      <bottom style="thin">
        <color theme="1" tint="0.499984740745262"/>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164" fontId="3" fillId="0" borderId="0" applyFont="0" applyFill="0" applyBorder="0" applyAlignment="0" applyProtection="0"/>
    <xf numFmtId="9" fontId="3" fillId="0" borderId="0" applyFont="0" applyFill="0" applyBorder="0" applyAlignment="0" applyProtection="0"/>
    <xf numFmtId="0" fontId="19" fillId="0" borderId="0" applyNumberFormat="0" applyFill="0" applyBorder="0" applyAlignment="0" applyProtection="0"/>
  </cellStyleXfs>
  <cellXfs count="127">
    <xf numFmtId="0" fontId="0" fillId="0" borderId="0" xfId="0"/>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14" fontId="0" fillId="0" borderId="1" xfId="0" applyNumberFormat="1" applyBorder="1" applyAlignment="1">
      <alignment horizontal="center" vertical="center"/>
    </xf>
    <xf numFmtId="165" fontId="0" fillId="0" borderId="2" xfId="0" applyNumberFormat="1" applyBorder="1" applyAlignment="1">
      <alignment horizontal="center" vertical="center"/>
    </xf>
    <xf numFmtId="165" fontId="0" fillId="0" borderId="0" xfId="0" applyNumberFormat="1" applyAlignment="1">
      <alignment horizontal="center"/>
    </xf>
    <xf numFmtId="0" fontId="0" fillId="0" borderId="0" xfId="0" applyAlignment="1">
      <alignment horizontal="center" vertical="center"/>
    </xf>
    <xf numFmtId="0" fontId="10" fillId="7" borderId="0" xfId="0" applyFont="1" applyFill="1" applyAlignment="1">
      <alignment vertical="center"/>
    </xf>
    <xf numFmtId="0" fontId="12" fillId="0" borderId="0" xfId="0" applyFont="1"/>
    <xf numFmtId="0" fontId="0" fillId="7" borderId="0" xfId="0" applyFill="1"/>
    <xf numFmtId="9" fontId="0" fillId="0" borderId="1" xfId="2" applyFont="1" applyBorder="1" applyAlignment="1">
      <alignment horizontal="center" vertical="center"/>
    </xf>
    <xf numFmtId="0" fontId="6" fillId="7" borderId="6" xfId="0" applyFont="1" applyFill="1" applyBorder="1" applyAlignment="1">
      <alignment horizontal="center" vertical="center"/>
    </xf>
    <xf numFmtId="14" fontId="0" fillId="0" borderId="0" xfId="0" applyNumberFormat="1" applyAlignment="1">
      <alignment horizontal="left"/>
    </xf>
    <xf numFmtId="0" fontId="0" fillId="0" borderId="5" xfId="0" applyBorder="1"/>
    <xf numFmtId="0" fontId="8" fillId="7" borderId="0" xfId="0" applyFont="1" applyFill="1" applyAlignment="1">
      <alignment vertical="center"/>
    </xf>
    <xf numFmtId="2" fontId="14" fillId="0" borderId="10" xfId="1" applyNumberFormat="1" applyFont="1" applyBorder="1" applyAlignment="1">
      <alignment horizontal="center" vertical="center"/>
    </xf>
    <xf numFmtId="2" fontId="14" fillId="0" borderId="11" xfId="1" applyNumberFormat="1" applyFont="1" applyBorder="1" applyAlignment="1">
      <alignment horizontal="center" vertical="center"/>
    </xf>
    <xf numFmtId="2" fontId="14" fillId="0" borderId="12" xfId="1" applyNumberFormat="1" applyFont="1" applyBorder="1" applyAlignment="1">
      <alignment horizontal="center" vertical="center"/>
    </xf>
    <xf numFmtId="2" fontId="14" fillId="0" borderId="7" xfId="1" applyNumberFormat="1" applyFont="1" applyBorder="1" applyAlignment="1">
      <alignment horizontal="center" vertical="center"/>
    </xf>
    <xf numFmtId="2" fontId="14" fillId="0" borderId="0" xfId="1" applyNumberFormat="1" applyFont="1" applyBorder="1" applyAlignment="1">
      <alignment horizontal="center" vertical="center"/>
    </xf>
    <xf numFmtId="2" fontId="14" fillId="0" borderId="8" xfId="1" applyNumberFormat="1" applyFont="1" applyBorder="1" applyAlignment="1">
      <alignment horizontal="center" vertical="center"/>
    </xf>
    <xf numFmtId="2" fontId="14" fillId="0" borderId="4" xfId="1" applyNumberFormat="1" applyFont="1" applyBorder="1" applyAlignment="1">
      <alignment horizontal="center" vertical="center"/>
    </xf>
    <xf numFmtId="2" fontId="14" fillId="0" borderId="9" xfId="1" applyNumberFormat="1" applyFont="1" applyBorder="1" applyAlignment="1">
      <alignment horizontal="center" vertical="center"/>
    </xf>
    <xf numFmtId="2" fontId="14" fillId="0" borderId="2" xfId="1" applyNumberFormat="1" applyFont="1" applyBorder="1" applyAlignment="1">
      <alignment horizontal="center" vertical="center"/>
    </xf>
    <xf numFmtId="0" fontId="10" fillId="2" borderId="0" xfId="0" applyFont="1" applyFill="1" applyAlignment="1">
      <alignment horizontal="center" vertical="center"/>
    </xf>
    <xf numFmtId="0" fontId="6" fillId="5" borderId="10" xfId="0" applyFont="1" applyFill="1" applyBorder="1" applyAlignment="1">
      <alignment horizontal="center" vertical="center"/>
    </xf>
    <xf numFmtId="0" fontId="6" fillId="5" borderId="11" xfId="0" applyFont="1" applyFill="1" applyBorder="1" applyAlignment="1">
      <alignment horizontal="center" vertical="center"/>
    </xf>
    <xf numFmtId="0" fontId="6" fillId="5" borderId="12"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9" xfId="0" applyFont="1" applyFill="1" applyBorder="1" applyAlignment="1">
      <alignment horizontal="center" vertical="center"/>
    </xf>
    <xf numFmtId="0" fontId="6" fillId="5" borderId="2" xfId="0" applyFont="1" applyFill="1" applyBorder="1" applyAlignment="1">
      <alignment horizontal="center" vertical="center"/>
    </xf>
    <xf numFmtId="2" fontId="11" fillId="0" borderId="10" xfId="1" applyNumberFormat="1" applyFont="1" applyBorder="1" applyAlignment="1">
      <alignment horizontal="center" vertical="center"/>
    </xf>
    <xf numFmtId="2" fontId="11" fillId="0" borderId="11" xfId="1" applyNumberFormat="1" applyFont="1" applyBorder="1" applyAlignment="1">
      <alignment horizontal="center" vertical="center"/>
    </xf>
    <xf numFmtId="2" fontId="11" fillId="0" borderId="12" xfId="1" applyNumberFormat="1" applyFont="1" applyBorder="1" applyAlignment="1">
      <alignment horizontal="center" vertical="center"/>
    </xf>
    <xf numFmtId="2" fontId="11" fillId="0" borderId="7" xfId="1" applyNumberFormat="1" applyFont="1" applyBorder="1" applyAlignment="1">
      <alignment horizontal="center" vertical="center"/>
    </xf>
    <xf numFmtId="2" fontId="11" fillId="0" borderId="0" xfId="1" applyNumberFormat="1" applyFont="1" applyBorder="1" applyAlignment="1">
      <alignment horizontal="center" vertical="center"/>
    </xf>
    <xf numFmtId="2" fontId="11" fillId="0" borderId="8" xfId="1" applyNumberFormat="1" applyFont="1" applyBorder="1" applyAlignment="1">
      <alignment horizontal="center" vertical="center"/>
    </xf>
    <xf numFmtId="2" fontId="11" fillId="0" borderId="4" xfId="1" applyNumberFormat="1" applyFont="1" applyBorder="1" applyAlignment="1">
      <alignment horizontal="center" vertical="center"/>
    </xf>
    <xf numFmtId="2" fontId="11" fillId="0" borderId="9" xfId="1" applyNumberFormat="1" applyFont="1" applyBorder="1" applyAlignment="1">
      <alignment horizontal="center" vertical="center"/>
    </xf>
    <xf numFmtId="2" fontId="11" fillId="0" borderId="2" xfId="1" applyNumberFormat="1" applyFont="1" applyBorder="1" applyAlignment="1">
      <alignment horizontal="center" vertical="center"/>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2" xfId="0" applyFont="1" applyFill="1" applyBorder="1" applyAlignment="1">
      <alignment horizontal="center" vertical="center"/>
    </xf>
    <xf numFmtId="2" fontId="13" fillId="0" borderId="10" xfId="1" applyNumberFormat="1" applyFont="1" applyBorder="1" applyAlignment="1">
      <alignment horizontal="center" vertical="center"/>
    </xf>
    <xf numFmtId="2" fontId="13" fillId="0" borderId="11" xfId="1" applyNumberFormat="1" applyFont="1" applyBorder="1" applyAlignment="1">
      <alignment horizontal="center" vertical="center"/>
    </xf>
    <xf numFmtId="2" fontId="13" fillId="0" borderId="12" xfId="1" applyNumberFormat="1" applyFont="1" applyBorder="1" applyAlignment="1">
      <alignment horizontal="center" vertical="center"/>
    </xf>
    <xf numFmtId="2" fontId="13" fillId="0" borderId="7" xfId="1" applyNumberFormat="1" applyFont="1" applyBorder="1" applyAlignment="1">
      <alignment horizontal="center" vertical="center"/>
    </xf>
    <xf numFmtId="2" fontId="13" fillId="0" borderId="0" xfId="1" applyNumberFormat="1" applyFont="1" applyBorder="1" applyAlignment="1">
      <alignment horizontal="center" vertical="center"/>
    </xf>
    <xf numFmtId="2" fontId="13" fillId="0" borderId="8" xfId="1" applyNumberFormat="1" applyFont="1" applyBorder="1" applyAlignment="1">
      <alignment horizontal="center" vertical="center"/>
    </xf>
    <xf numFmtId="2" fontId="13" fillId="0" borderId="4" xfId="1" applyNumberFormat="1" applyFont="1" applyBorder="1" applyAlignment="1">
      <alignment horizontal="center" vertical="center"/>
    </xf>
    <xf numFmtId="2" fontId="13" fillId="0" borderId="9" xfId="1" applyNumberFormat="1" applyFont="1" applyBorder="1" applyAlignment="1">
      <alignment horizontal="center" vertical="center"/>
    </xf>
    <xf numFmtId="2" fontId="13" fillId="0" borderId="2" xfId="1" applyNumberFormat="1" applyFont="1" applyBorder="1" applyAlignment="1">
      <alignment horizontal="center" vertical="center"/>
    </xf>
    <xf numFmtId="0" fontId="6" fillId="6" borderId="10" xfId="0" applyFont="1" applyFill="1" applyBorder="1" applyAlignment="1">
      <alignment horizontal="center" vertical="center"/>
    </xf>
    <xf numFmtId="0" fontId="6" fillId="6" borderId="11" xfId="0" applyFont="1" applyFill="1" applyBorder="1" applyAlignment="1">
      <alignment horizontal="center" vertical="center"/>
    </xf>
    <xf numFmtId="0" fontId="6" fillId="6" borderId="12" xfId="0" applyFont="1" applyFill="1" applyBorder="1" applyAlignment="1">
      <alignment horizontal="center" vertical="center"/>
    </xf>
    <xf numFmtId="0" fontId="6" fillId="6" borderId="4"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2" xfId="0" applyFont="1" applyFill="1" applyBorder="1" applyAlignment="1">
      <alignment horizontal="center" vertical="center"/>
    </xf>
    <xf numFmtId="9" fontId="5" fillId="0" borderId="10" xfId="2" applyFont="1" applyBorder="1" applyAlignment="1">
      <alignment horizontal="center" vertical="center"/>
    </xf>
    <xf numFmtId="9" fontId="5" fillId="0" borderId="11" xfId="2" applyFont="1" applyBorder="1" applyAlignment="1">
      <alignment horizontal="center" vertical="center"/>
    </xf>
    <xf numFmtId="9" fontId="5" fillId="0" borderId="12" xfId="2" applyFont="1" applyBorder="1" applyAlignment="1">
      <alignment horizontal="center" vertical="center"/>
    </xf>
    <xf numFmtId="9" fontId="5" fillId="0" borderId="7" xfId="2" applyFont="1" applyBorder="1" applyAlignment="1">
      <alignment horizontal="center" vertical="center"/>
    </xf>
    <xf numFmtId="9" fontId="5" fillId="0" borderId="0" xfId="2" applyFont="1" applyBorder="1" applyAlignment="1">
      <alignment horizontal="center" vertical="center"/>
    </xf>
    <xf numFmtId="9" fontId="5" fillId="0" borderId="8" xfId="2" applyFont="1" applyBorder="1" applyAlignment="1">
      <alignment horizontal="center" vertical="center"/>
    </xf>
    <xf numFmtId="9" fontId="5" fillId="0" borderId="4" xfId="2" applyFont="1" applyBorder="1" applyAlignment="1">
      <alignment horizontal="center" vertical="center"/>
    </xf>
    <xf numFmtId="9" fontId="5" fillId="0" borderId="9" xfId="2" applyFont="1" applyBorder="1" applyAlignment="1">
      <alignment horizontal="center" vertical="center"/>
    </xf>
    <xf numFmtId="9" fontId="5" fillId="0" borderId="2" xfId="2" applyFont="1" applyBorder="1" applyAlignment="1">
      <alignment horizontal="center" vertical="center"/>
    </xf>
    <xf numFmtId="0" fontId="6" fillId="4" borderId="10" xfId="0" applyFont="1" applyFill="1" applyBorder="1" applyAlignment="1">
      <alignment horizontal="center" vertical="center"/>
    </xf>
    <xf numFmtId="0" fontId="6" fillId="4" borderId="1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9" xfId="0" applyFont="1" applyFill="1" applyBorder="1" applyAlignment="1">
      <alignment horizontal="center" vertical="center"/>
    </xf>
    <xf numFmtId="0" fontId="6" fillId="4" borderId="2" xfId="0" applyFont="1" applyFill="1" applyBorder="1" applyAlignment="1">
      <alignment horizontal="center" vertical="center"/>
    </xf>
    <xf numFmtId="165" fontId="8" fillId="11" borderId="1" xfId="0" applyNumberFormat="1" applyFont="1" applyFill="1" applyBorder="1" applyAlignment="1">
      <alignment horizontal="center" vertical="center"/>
    </xf>
    <xf numFmtId="0" fontId="6" fillId="12" borderId="1" xfId="0" applyFont="1" applyFill="1" applyBorder="1" applyAlignment="1">
      <alignment horizontal="center" vertical="center"/>
    </xf>
    <xf numFmtId="14" fontId="9" fillId="13" borderId="1" xfId="0" applyNumberFormat="1" applyFont="1" applyFill="1" applyBorder="1" applyAlignment="1">
      <alignment horizontal="right" vertical="center"/>
    </xf>
    <xf numFmtId="0" fontId="9" fillId="13" borderId="1" xfId="0" applyFont="1" applyFill="1" applyBorder="1" applyAlignment="1">
      <alignment horizontal="right" vertical="center"/>
    </xf>
    <xf numFmtId="164" fontId="9" fillId="13" borderId="1" xfId="1" applyFont="1" applyFill="1" applyBorder="1" applyAlignment="1">
      <alignment horizontal="right" vertical="center"/>
    </xf>
    <xf numFmtId="1" fontId="9" fillId="13" borderId="1" xfId="0" applyNumberFormat="1" applyFont="1" applyFill="1" applyBorder="1" applyAlignment="1">
      <alignment horizontal="right" vertical="center"/>
    </xf>
    <xf numFmtId="9" fontId="9" fillId="13" borderId="1" xfId="2" applyFont="1" applyFill="1" applyBorder="1" applyAlignment="1">
      <alignment horizontal="right" vertical="center"/>
    </xf>
    <xf numFmtId="2" fontId="9" fillId="13" borderId="1" xfId="0" applyNumberFormat="1" applyFont="1" applyFill="1" applyBorder="1" applyAlignment="1">
      <alignment horizontal="right" vertical="center"/>
    </xf>
    <xf numFmtId="0" fontId="0" fillId="0" borderId="1" xfId="0" applyBorder="1" applyAlignment="1">
      <alignment horizontal="center"/>
    </xf>
    <xf numFmtId="0" fontId="0" fillId="14" borderId="1" xfId="0" applyFont="1" applyFill="1" applyBorder="1" applyAlignment="1">
      <alignment horizontal="center" vertical="center"/>
    </xf>
    <xf numFmtId="0" fontId="0" fillId="14" borderId="1" xfId="0" applyFill="1" applyBorder="1" applyAlignment="1">
      <alignment horizontal="center" vertical="center"/>
    </xf>
    <xf numFmtId="0" fontId="0" fillId="14" borderId="1" xfId="0" applyNumberFormat="1" applyFill="1" applyBorder="1" applyAlignment="1">
      <alignment horizontal="center" vertical="center"/>
    </xf>
    <xf numFmtId="0" fontId="0" fillId="16" borderId="1" xfId="0" applyFill="1" applyBorder="1" applyAlignment="1">
      <alignment horizontal="center" vertical="center"/>
    </xf>
    <xf numFmtId="0" fontId="0" fillId="16" borderId="1" xfId="0" applyFill="1" applyBorder="1" applyAlignment="1">
      <alignment horizontal="center" vertical="center"/>
    </xf>
    <xf numFmtId="0" fontId="0" fillId="16" borderId="1" xfId="0" applyNumberFormat="1" applyFill="1" applyBorder="1" applyAlignment="1">
      <alignment horizontal="center" vertical="center"/>
    </xf>
    <xf numFmtId="0" fontId="17" fillId="17" borderId="1" xfId="0" applyFont="1" applyFill="1" applyBorder="1" applyAlignment="1">
      <alignment horizontal="center" vertical="center"/>
    </xf>
    <xf numFmtId="0" fontId="0" fillId="17" borderId="1" xfId="0" applyFill="1" applyBorder="1" applyAlignment="1">
      <alignment horizontal="center" vertical="center"/>
    </xf>
    <xf numFmtId="0" fontId="0" fillId="17" borderId="1" xfId="0" applyFill="1" applyBorder="1" applyAlignment="1">
      <alignment horizontal="center" vertical="center"/>
    </xf>
    <xf numFmtId="0" fontId="0" fillId="17" borderId="1" xfId="0" applyNumberFormat="1" applyFill="1" applyBorder="1" applyAlignment="1">
      <alignment horizontal="center" vertical="center"/>
    </xf>
    <xf numFmtId="0" fontId="17" fillId="18" borderId="1" xfId="0" applyFont="1" applyFill="1" applyBorder="1" applyAlignment="1">
      <alignment horizontal="center" vertical="center"/>
    </xf>
    <xf numFmtId="0" fontId="9" fillId="18" borderId="1" xfId="0" applyFont="1" applyFill="1" applyBorder="1" applyAlignment="1">
      <alignment horizontal="center" vertical="center"/>
    </xf>
    <xf numFmtId="0" fontId="0" fillId="18" borderId="1" xfId="0" applyFill="1" applyBorder="1" applyAlignment="1">
      <alignment horizontal="center" vertical="center"/>
    </xf>
    <xf numFmtId="0" fontId="0" fillId="18" borderId="1" xfId="0" applyNumberFormat="1" applyFill="1" applyBorder="1" applyAlignment="1">
      <alignment horizontal="center" vertical="center"/>
    </xf>
    <xf numFmtId="0" fontId="17" fillId="16" borderId="1" xfId="0" applyFont="1" applyFill="1" applyBorder="1" applyAlignment="1">
      <alignment horizontal="center" vertical="center"/>
    </xf>
    <xf numFmtId="0" fontId="17" fillId="14" borderId="1" xfId="0" applyFont="1" applyFill="1" applyBorder="1" applyAlignment="1">
      <alignment horizontal="center" vertical="center"/>
    </xf>
    <xf numFmtId="0" fontId="7" fillId="10" borderId="1" xfId="0" applyFont="1" applyFill="1" applyBorder="1" applyAlignment="1">
      <alignment horizontal="center" vertical="center"/>
    </xf>
    <xf numFmtId="0" fontId="15" fillId="19" borderId="1" xfId="0" applyFont="1" applyFill="1" applyBorder="1" applyAlignment="1">
      <alignment horizontal="center" vertical="center" wrapText="1"/>
    </xf>
    <xf numFmtId="0" fontId="8" fillId="10" borderId="1" xfId="0" applyFont="1" applyFill="1" applyBorder="1" applyAlignment="1">
      <alignment horizontal="center" vertical="center"/>
    </xf>
    <xf numFmtId="0" fontId="2" fillId="8" borderId="1" xfId="0" applyFont="1" applyFill="1" applyBorder="1" applyAlignment="1">
      <alignment horizontal="center" vertical="center"/>
    </xf>
    <xf numFmtId="164" fontId="0" fillId="0" borderId="1" xfId="1" applyFont="1" applyBorder="1" applyAlignment="1">
      <alignment horizontal="center" vertical="center"/>
    </xf>
    <xf numFmtId="164" fontId="0" fillId="0" borderId="1" xfId="0" applyNumberFormat="1" applyBorder="1" applyAlignment="1">
      <alignment horizontal="center" vertical="center"/>
    </xf>
    <xf numFmtId="10" fontId="0" fillId="0" borderId="1" xfId="2" applyNumberFormat="1" applyFont="1" applyBorder="1" applyAlignment="1">
      <alignment horizontal="center" vertical="center"/>
    </xf>
    <xf numFmtId="0" fontId="0" fillId="9" borderId="1" xfId="0" applyFill="1" applyBorder="1" applyAlignment="1">
      <alignment horizontal="center" vertical="center"/>
    </xf>
    <xf numFmtId="164" fontId="0" fillId="9" borderId="1" xfId="1" applyFont="1" applyFill="1" applyBorder="1" applyAlignment="1">
      <alignment horizontal="center" vertical="center"/>
    </xf>
    <xf numFmtId="164" fontId="0" fillId="9" borderId="1" xfId="0" applyNumberFormat="1" applyFill="1" applyBorder="1" applyAlignment="1">
      <alignment horizontal="center" vertical="center"/>
    </xf>
    <xf numFmtId="10" fontId="0" fillId="9" borderId="1" xfId="2" applyNumberFormat="1" applyFont="1" applyFill="1" applyBorder="1" applyAlignment="1">
      <alignment horizontal="center" vertical="center"/>
    </xf>
    <xf numFmtId="0" fontId="18" fillId="15" borderId="1" xfId="0" applyFont="1" applyFill="1" applyBorder="1" applyAlignment="1">
      <alignment horizontal="center" vertical="center"/>
    </xf>
    <xf numFmtId="0" fontId="16" fillId="15" borderId="1" xfId="0" applyFont="1" applyFill="1" applyBorder="1" applyAlignment="1">
      <alignment horizontal="center" vertical="center"/>
    </xf>
    <xf numFmtId="0" fontId="7" fillId="12" borderId="1" xfId="0" applyFont="1" applyFill="1" applyBorder="1" applyAlignment="1">
      <alignment vertical="center"/>
    </xf>
    <xf numFmtId="0" fontId="0" fillId="0" borderId="1" xfId="0" applyFill="1" applyBorder="1" applyAlignment="1">
      <alignment horizontal="center" vertical="center"/>
    </xf>
    <xf numFmtId="0" fontId="4" fillId="0" borderId="1" xfId="0" applyFont="1" applyFill="1" applyBorder="1" applyAlignment="1">
      <alignment horizontal="center" vertical="center"/>
    </xf>
    <xf numFmtId="164" fontId="4" fillId="0" borderId="1" xfId="0" applyNumberFormat="1" applyFont="1" applyFill="1" applyBorder="1" applyAlignment="1">
      <alignment horizontal="center" vertical="center"/>
    </xf>
    <xf numFmtId="10" fontId="4" fillId="0" borderId="1" xfId="2" applyNumberFormat="1" applyFont="1" applyFill="1" applyBorder="1" applyAlignment="1">
      <alignment horizontal="center" vertical="center"/>
    </xf>
    <xf numFmtId="10" fontId="4" fillId="0" borderId="1" xfId="0" applyNumberFormat="1" applyFont="1" applyFill="1" applyBorder="1" applyAlignment="1">
      <alignment horizontal="center" vertical="center"/>
    </xf>
    <xf numFmtId="0" fontId="20" fillId="20" borderId="0" xfId="3" applyFont="1" applyFill="1" applyBorder="1" applyAlignment="1">
      <alignment horizontal="center" vertical="center"/>
    </xf>
    <xf numFmtId="0" fontId="0" fillId="0" borderId="0" xfId="0" applyAlignment="1">
      <alignment wrapText="1"/>
    </xf>
    <xf numFmtId="0" fontId="21" fillId="21" borderId="0" xfId="0" applyFont="1" applyFill="1" applyAlignment="1">
      <alignment horizontal="center" vertical="center" wrapText="1"/>
    </xf>
    <xf numFmtId="0" fontId="0" fillId="0" borderId="13" xfId="0" applyBorder="1" applyAlignment="1">
      <alignment horizontal="center" vertical="center" wrapText="1"/>
    </xf>
    <xf numFmtId="0" fontId="0" fillId="22" borderId="13" xfId="0" applyFill="1" applyBorder="1" applyAlignment="1">
      <alignment horizontal="center" vertical="center" wrapText="1"/>
    </xf>
    <xf numFmtId="0" fontId="0" fillId="23" borderId="13" xfId="0"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125">
    <dxf>
      <font>
        <color rgb="FF004821"/>
      </font>
      <fill>
        <patternFill>
          <bgColor rgb="FF9BFFC8"/>
        </patternFill>
      </fill>
    </dxf>
    <dxf>
      <font>
        <color rgb="FF700000"/>
      </font>
      <fill>
        <patternFill>
          <bgColor rgb="FFFFABAB"/>
        </patternFill>
      </fill>
    </dxf>
    <dxf>
      <font>
        <b val="0"/>
        <i val="0"/>
        <color rgb="FF5C4600"/>
      </font>
      <fill>
        <patternFill>
          <bgColor rgb="FFFFE89F"/>
        </patternFill>
      </fill>
    </dxf>
    <dxf>
      <fill>
        <patternFill patternType="solid">
          <bgColor theme="8" tint="0.39997558519241921"/>
        </patternFill>
      </fill>
    </dxf>
    <dxf>
      <fill>
        <patternFill patternType="solid">
          <bgColor theme="8" tint="0.39997558519241921"/>
        </patternFill>
      </fill>
    </dxf>
    <dxf>
      <fill>
        <patternFill patternType="solid">
          <bgColor theme="8" tint="0.39997558519241921"/>
        </patternFill>
      </fill>
    </dxf>
    <dxf>
      <fill>
        <patternFill patternType="solid">
          <bgColor theme="8" tint="0.39997558519241921"/>
        </patternFill>
      </fill>
    </dxf>
    <dxf>
      <fill>
        <patternFill patternType="solid">
          <bgColor theme="8" tint="0.39997558519241921"/>
        </patternFill>
      </fill>
    </dxf>
    <dxf>
      <fill>
        <patternFill patternType="solid">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patternType="solid">
          <bgColor rgb="FF9BFFC8"/>
        </patternFill>
      </fill>
    </dxf>
    <dxf>
      <fill>
        <patternFill patternType="solid">
          <bgColor rgb="FF9BFFC8"/>
        </patternFill>
      </fill>
    </dxf>
    <dxf>
      <fill>
        <patternFill patternType="solid">
          <bgColor rgb="FF9BFFC8"/>
        </patternFill>
      </fill>
    </dxf>
    <dxf>
      <fill>
        <patternFill patternType="solid">
          <bgColor rgb="FF9BFFC8"/>
        </patternFill>
      </fill>
    </dxf>
    <dxf>
      <fill>
        <patternFill patternType="solid">
          <bgColor rgb="FF9BFFC8"/>
        </patternFill>
      </fill>
    </dxf>
    <dxf>
      <fill>
        <patternFill patternType="solid">
          <bgColor rgb="FF9BFFC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9BFFC8"/>
        </patternFill>
      </fill>
    </dxf>
    <dxf>
      <fill>
        <patternFill>
          <bgColor rgb="FF9BFFC8"/>
        </patternFill>
      </fill>
    </dxf>
    <dxf>
      <fill>
        <patternFill>
          <bgColor rgb="FF9BFFC8"/>
        </patternFill>
      </fill>
    </dxf>
    <dxf>
      <fill>
        <patternFill>
          <bgColor rgb="FF9BFFC8"/>
        </patternFill>
      </fill>
    </dxf>
    <dxf>
      <fill>
        <patternFill>
          <bgColor rgb="FF9BFFC8"/>
        </patternFill>
      </fill>
    </dxf>
    <dxf>
      <fill>
        <patternFill>
          <bgColor rgb="FF9BFFC8"/>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166" formatCode="m/d/yyyy"/>
    </dxf>
    <dxf>
      <border outline="0">
        <top style="thin">
          <color theme="1" tint="0.499984740745262"/>
        </top>
      </border>
    </dxf>
    <dxf>
      <font>
        <sz val="8"/>
      </font>
    </dxf>
  </dxfs>
  <tableStyles count="1" defaultTableStyle="TableStyleMedium9" defaultPivotStyle="PivotStyleLight16">
    <tableStyle name="Slicer Style 1" pivot="0" table="0" count="1" xr9:uid="{7A92B690-CC47-4199-9A59-0500432FC8E4}">
      <tableStyleElement type="wholeTable" dxfId="124"/>
    </tableStyle>
  </tableStyles>
  <colors>
    <mruColors>
      <color rgb="FFFFE89F"/>
      <color rgb="FF9BFFC8"/>
      <color rgb="FF008A3E"/>
      <color rgb="FF81FFBA"/>
      <color rgb="FF5C4600"/>
      <color rgb="FF004821"/>
      <color rgb="FF700000"/>
      <color rgb="FFBC0000"/>
      <color rgb="FFFFABAB"/>
      <color rgb="FFA27B0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[Final_excel_project.xlsm]Portfolio Analysis!PivotTable4</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2"/>
          </a:solidFill>
          <a:ln>
            <a:noFill/>
          </a:ln>
          <a:effectLst>
            <a:outerShdw blurRad="317500" algn="ctr" rotWithShape="0">
              <a:prstClr val="black">
                <a:alpha val="25000"/>
              </a:prstClr>
            </a:outerShdw>
          </a:effectLst>
        </c:spPr>
      </c:pivotFmt>
      <c:pivotFmt>
        <c:idx val="30"/>
        <c:spPr>
          <a:solidFill>
            <a:schemeClr val="accent3"/>
          </a:solidFill>
          <a:ln>
            <a:noFill/>
          </a:ln>
          <a:effectLst>
            <a:outerShdw blurRad="317500" algn="ctr" rotWithShape="0">
              <a:prstClr val="black">
                <a:alpha val="25000"/>
              </a:prstClr>
            </a:outerShdw>
          </a:effectLst>
        </c:spPr>
      </c:pivotFmt>
      <c:pivotFmt>
        <c:idx val="31"/>
        <c:spPr>
          <a:solidFill>
            <a:schemeClr val="accent4"/>
          </a:solidFill>
          <a:ln>
            <a:noFill/>
          </a:ln>
          <a:effectLst>
            <a:outerShdw blurRad="317500" algn="ctr" rotWithShape="0">
              <a:prstClr val="black">
                <a:alpha val="25000"/>
              </a:prstClr>
            </a:outerShdw>
          </a:effectLst>
        </c:spPr>
      </c:pivotFmt>
      <c:pivotFmt>
        <c:idx val="32"/>
        <c:spPr>
          <a:solidFill>
            <a:schemeClr val="accent5"/>
          </a:solidFill>
          <a:ln>
            <a:noFill/>
          </a:ln>
          <a:effectLst>
            <a:outerShdw blurRad="317500" algn="ctr" rotWithShape="0">
              <a:prstClr val="black">
                <a:alpha val="25000"/>
              </a:prstClr>
            </a:outerShdw>
          </a:effectLst>
        </c:spPr>
      </c:pivotFmt>
      <c:pivotFmt>
        <c:idx val="33"/>
        <c:spPr>
          <a:solidFill>
            <a:schemeClr val="accent6"/>
          </a:solidFill>
          <a:ln>
            <a:noFill/>
          </a:ln>
          <a:effectLst>
            <a:outerShdw blurRad="317500" algn="ctr" rotWithShape="0">
              <a:prstClr val="black">
                <a:alpha val="25000"/>
              </a:prstClr>
            </a:outerShdw>
          </a:effectLst>
        </c:spPr>
      </c:pivotFmt>
      <c:pivotFmt>
        <c:idx val="34"/>
        <c:spPr>
          <a:solidFill>
            <a:schemeClr val="accent1">
              <a:lumMod val="60000"/>
            </a:schemeClr>
          </a:solidFill>
          <a:ln>
            <a:noFill/>
          </a:ln>
          <a:effectLst>
            <a:outerShdw blurRad="317500" algn="ctr" rotWithShape="0">
              <a:prstClr val="black">
                <a:alpha val="25000"/>
              </a:prstClr>
            </a:outerShdw>
          </a:effectLst>
        </c:spPr>
      </c:pivotFmt>
      <c:pivotFmt>
        <c:idx val="35"/>
        <c:spPr>
          <a:solidFill>
            <a:schemeClr val="accent2">
              <a:lumMod val="60000"/>
            </a:schemeClr>
          </a:solidFill>
          <a:ln>
            <a:noFill/>
          </a:ln>
          <a:effectLst>
            <a:outerShdw blurRad="317500" algn="ctr" rotWithShape="0">
              <a:prstClr val="black">
                <a:alpha val="25000"/>
              </a:prstClr>
            </a:outerShdw>
          </a:effectLst>
        </c:spPr>
      </c:pivotFmt>
      <c:pivotFmt>
        <c:idx val="36"/>
        <c:spPr>
          <a:solidFill>
            <a:schemeClr val="accent3">
              <a:lumMod val="60000"/>
            </a:schemeClr>
          </a:solidFill>
          <a:ln>
            <a:noFill/>
          </a:ln>
          <a:effectLst>
            <a:outerShdw blurRad="317500" algn="ctr" rotWithShape="0">
              <a:prstClr val="black">
                <a:alpha val="25000"/>
              </a:prstClr>
            </a:outerShdw>
          </a:effectLst>
        </c:spPr>
      </c:pivotFmt>
      <c:pivotFmt>
        <c:idx val="37"/>
        <c:spPr>
          <a:solidFill>
            <a:schemeClr val="accent4">
              <a:lumMod val="60000"/>
            </a:schemeClr>
          </a:solidFill>
          <a:ln>
            <a:noFill/>
          </a:ln>
          <a:effectLst>
            <a:outerShdw blurRad="317500" algn="ctr" rotWithShape="0">
              <a:prstClr val="black">
                <a:alpha val="25000"/>
              </a:prstClr>
            </a:outerShdw>
          </a:effectLst>
        </c:spPr>
      </c:pivotFmt>
      <c:pivotFmt>
        <c:idx val="38"/>
        <c:spPr>
          <a:solidFill>
            <a:schemeClr val="accent5">
              <a:lumMod val="60000"/>
            </a:schemeClr>
          </a:solidFill>
          <a:ln>
            <a:noFill/>
          </a:ln>
          <a:effectLst>
            <a:outerShdw blurRad="317500" algn="ctr" rotWithShape="0">
              <a:prstClr val="black">
                <a:alpha val="25000"/>
              </a:prstClr>
            </a:outerShdw>
          </a:effectLst>
        </c:spPr>
      </c:pivotFmt>
      <c:pivotFmt>
        <c:idx val="39"/>
        <c:spPr>
          <a:solidFill>
            <a:schemeClr val="accent6">
              <a:lumMod val="60000"/>
            </a:schemeClr>
          </a:solidFill>
          <a:ln>
            <a:noFill/>
          </a:ln>
          <a:effectLst>
            <a:outerShdw blurRad="317500" algn="ctr" rotWithShape="0">
              <a:prstClr val="black">
                <a:alpha val="25000"/>
              </a:prstClr>
            </a:outerShdw>
          </a:effectLst>
        </c:spPr>
      </c:pivotFmt>
      <c:pivotFmt>
        <c:idx val="40"/>
        <c:spPr>
          <a:solidFill>
            <a:schemeClr val="accent1">
              <a:lumMod val="80000"/>
              <a:lumOff val="20000"/>
            </a:schemeClr>
          </a:solidFill>
          <a:ln>
            <a:noFill/>
          </a:ln>
          <a:effectLst>
            <a:outerShdw blurRad="317500" algn="ctr" rotWithShape="0">
              <a:prstClr val="black">
                <a:alpha val="25000"/>
              </a:prstClr>
            </a:outerShdw>
          </a:effectLst>
        </c:spPr>
      </c:pivotFmt>
      <c:pivotFmt>
        <c:idx val="41"/>
        <c:spPr>
          <a:solidFill>
            <a:schemeClr val="accent2">
              <a:lumMod val="80000"/>
              <a:lumOff val="20000"/>
            </a:schemeClr>
          </a:solidFill>
          <a:ln>
            <a:noFill/>
          </a:ln>
          <a:effectLst>
            <a:outerShdw blurRad="317500" algn="ctr" rotWithShape="0">
              <a:prstClr val="black">
                <a:alpha val="25000"/>
              </a:prstClr>
            </a:outerShdw>
          </a:effectLst>
        </c:spPr>
      </c:pivotFmt>
      <c:pivotFmt>
        <c:idx val="42"/>
        <c:spPr>
          <a:solidFill>
            <a:schemeClr val="accent3">
              <a:lumMod val="80000"/>
              <a:lumOff val="20000"/>
            </a:schemeClr>
          </a:solidFill>
          <a:ln>
            <a:noFill/>
          </a:ln>
          <a:effectLst>
            <a:outerShdw blurRad="317500" algn="ctr" rotWithShape="0">
              <a:prstClr val="black">
                <a:alpha val="25000"/>
              </a:prstClr>
            </a:outerShdw>
          </a:effectLst>
        </c:spPr>
      </c:pivotFmt>
      <c:pivotFmt>
        <c:idx val="43"/>
        <c:spPr>
          <a:solidFill>
            <a:schemeClr val="accent4">
              <a:lumMod val="80000"/>
              <a:lumOff val="20000"/>
            </a:schemeClr>
          </a:solidFill>
          <a:ln>
            <a:noFill/>
          </a:ln>
          <a:effectLst>
            <a:outerShdw blurRad="317500" algn="ctr" rotWithShape="0">
              <a:prstClr val="black">
                <a:alpha val="25000"/>
              </a:prstClr>
            </a:outerShdw>
          </a:effectLst>
        </c:spPr>
      </c:pivotFmt>
      <c:pivotFmt>
        <c:idx val="44"/>
        <c:spPr>
          <a:solidFill>
            <a:schemeClr val="accent5">
              <a:lumMod val="80000"/>
              <a:lumOff val="20000"/>
            </a:schemeClr>
          </a:solidFill>
          <a:ln>
            <a:noFill/>
          </a:ln>
          <a:effectLst>
            <a:outerShdw blurRad="317500" algn="ctr" rotWithShape="0">
              <a:prstClr val="black">
                <a:alpha val="25000"/>
              </a:prstClr>
            </a:outerShdw>
          </a:effectLst>
        </c:spPr>
      </c:pivotFmt>
      <c:pivotFmt>
        <c:idx val="45"/>
        <c:spPr>
          <a:solidFill>
            <a:schemeClr val="accent6">
              <a:lumMod val="80000"/>
              <a:lumOff val="20000"/>
            </a:schemeClr>
          </a:solidFill>
          <a:ln>
            <a:noFill/>
          </a:ln>
          <a:effectLst>
            <a:outerShdw blurRad="317500" algn="ctr" rotWithShape="0">
              <a:prstClr val="black">
                <a:alpha val="25000"/>
              </a:prstClr>
            </a:outerShdw>
          </a:effectLst>
        </c:spPr>
      </c:pivotFmt>
      <c:pivotFmt>
        <c:idx val="46"/>
        <c:spPr>
          <a:solidFill>
            <a:schemeClr val="accent1">
              <a:lumMod val="80000"/>
            </a:schemeClr>
          </a:solidFill>
          <a:ln>
            <a:noFill/>
          </a:ln>
          <a:effectLst>
            <a:outerShdw blurRad="317500" algn="ctr" rotWithShape="0">
              <a:prstClr val="black">
                <a:alpha val="25000"/>
              </a:prstClr>
            </a:outerShdw>
          </a:effectLst>
        </c:spPr>
      </c:pivotFmt>
      <c:pivotFmt>
        <c:idx val="47"/>
        <c:spPr>
          <a:solidFill>
            <a:schemeClr val="accent2">
              <a:lumMod val="80000"/>
            </a:schemeClr>
          </a:solidFill>
          <a:ln>
            <a:noFill/>
          </a:ln>
          <a:effectLst>
            <a:outerShdw blurRad="317500" algn="ctr" rotWithShape="0">
              <a:prstClr val="black">
                <a:alpha val="25000"/>
              </a:prstClr>
            </a:outerShdw>
          </a:effectLst>
        </c:spPr>
      </c:pivotFmt>
      <c:pivotFmt>
        <c:idx val="48"/>
        <c:spPr>
          <a:solidFill>
            <a:schemeClr val="accent3">
              <a:lumMod val="80000"/>
            </a:schemeClr>
          </a:solidFill>
          <a:ln>
            <a:noFill/>
          </a:ln>
          <a:effectLst>
            <a:outerShdw blurRad="317500" algn="ctr" rotWithShape="0">
              <a:prstClr val="black">
                <a:alpha val="25000"/>
              </a:prstClr>
            </a:outerShdw>
          </a:effectLst>
        </c:spPr>
      </c:pivotFmt>
      <c:pivotFmt>
        <c:idx val="49"/>
        <c:spPr>
          <a:solidFill>
            <a:schemeClr val="accent4">
              <a:lumMod val="80000"/>
            </a:schemeClr>
          </a:solidFill>
          <a:ln>
            <a:noFill/>
          </a:ln>
          <a:effectLst>
            <a:outerShdw blurRad="317500" algn="ctr" rotWithShape="0">
              <a:prstClr val="black">
                <a:alpha val="25000"/>
              </a:prstClr>
            </a:outerShdw>
          </a:effectLst>
        </c:spPr>
      </c:pivotFmt>
      <c:pivotFmt>
        <c:idx val="50"/>
        <c:spPr>
          <a:solidFill>
            <a:schemeClr val="accent5">
              <a:lumMod val="80000"/>
            </a:schemeClr>
          </a:solidFill>
          <a:ln>
            <a:noFill/>
          </a:ln>
          <a:effectLst>
            <a:outerShdw blurRad="317500" algn="ctr" rotWithShape="0">
              <a:prstClr val="black">
                <a:alpha val="25000"/>
              </a:prstClr>
            </a:outerShdw>
          </a:effectLst>
        </c:spPr>
      </c:pivotFmt>
      <c:pivotFmt>
        <c:idx val="51"/>
        <c:spPr>
          <a:solidFill>
            <a:schemeClr val="accent6">
              <a:lumMod val="80000"/>
            </a:schemeClr>
          </a:solidFill>
          <a:ln>
            <a:noFill/>
          </a:ln>
          <a:effectLst>
            <a:outerShdw blurRad="317500" algn="ctr" rotWithShape="0">
              <a:prstClr val="black">
                <a:alpha val="25000"/>
              </a:prstClr>
            </a:outerShdw>
          </a:effectLst>
        </c:spPr>
      </c:pivotFmt>
      <c:pivotFmt>
        <c:idx val="52"/>
        <c:spPr>
          <a:solidFill>
            <a:schemeClr val="accent1">
              <a:lumMod val="60000"/>
              <a:lumOff val="40000"/>
            </a:schemeClr>
          </a:solidFill>
          <a:ln>
            <a:noFill/>
          </a:ln>
          <a:effectLst>
            <a:outerShdw blurRad="317500" algn="ctr" rotWithShape="0">
              <a:prstClr val="black">
                <a:alpha val="25000"/>
              </a:prstClr>
            </a:outerShdw>
          </a:effectLst>
        </c:spPr>
      </c:pivotFmt>
    </c:pivotFmts>
    <c:plotArea>
      <c:layout/>
      <c:pieChart>
        <c:varyColors val="1"/>
        <c:ser>
          <c:idx val="0"/>
          <c:order val="0"/>
          <c:tx>
            <c:strRef>
              <c:f>'Portfolio Analysis'!$B$3</c:f>
              <c:strCache>
                <c:ptCount val="1"/>
                <c:pt idx="0">
                  <c:v>Total</c:v>
                </c:pt>
              </c:strCache>
            </c:strRef>
          </c:tx>
          <c:explosion val="12"/>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C24-48E9-A969-6BFC2D30EAF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C24-48E9-A969-6BFC2D30EAF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C24-48E9-A969-6BFC2D30EAF5}"/>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C24-48E9-A969-6BFC2D30EAF5}"/>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EC24-48E9-A969-6BFC2D30EAF5}"/>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EC24-48E9-A969-6BFC2D30EAF5}"/>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EC24-48E9-A969-6BFC2D30EAF5}"/>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EC24-48E9-A969-6BFC2D30EAF5}"/>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EC24-48E9-A969-6BFC2D30EAF5}"/>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EC24-48E9-A969-6BFC2D30EAF5}"/>
              </c:ext>
            </c:extLst>
          </c:dPt>
          <c:dPt>
            <c:idx val="10"/>
            <c:bubble3D val="0"/>
            <c:spPr>
              <a:solidFill>
                <a:schemeClr val="accent5">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EC24-48E9-A969-6BFC2D30EAF5}"/>
              </c:ext>
            </c:extLst>
          </c:dPt>
          <c:dPt>
            <c:idx val="11"/>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EC24-48E9-A969-6BFC2D30EAF5}"/>
              </c:ext>
            </c:extLst>
          </c:dPt>
          <c:dPt>
            <c:idx val="12"/>
            <c:bubble3D val="0"/>
            <c:spPr>
              <a:solidFill>
                <a:schemeClr val="accent1">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EC24-48E9-A969-6BFC2D30EAF5}"/>
              </c:ext>
            </c:extLst>
          </c:dPt>
          <c:dPt>
            <c:idx val="13"/>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EC24-48E9-A969-6BFC2D30EAF5}"/>
              </c:ext>
            </c:extLst>
          </c:dPt>
          <c:dPt>
            <c:idx val="14"/>
            <c:bubble3D val="0"/>
            <c:spPr>
              <a:solidFill>
                <a:schemeClr val="accent3">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D-EC24-48E9-A969-6BFC2D30EAF5}"/>
              </c:ext>
            </c:extLst>
          </c:dPt>
          <c:dPt>
            <c:idx val="15"/>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F-EC24-48E9-A969-6BFC2D30EAF5}"/>
              </c:ext>
            </c:extLst>
          </c:dPt>
          <c:dPt>
            <c:idx val="16"/>
            <c:bubble3D val="0"/>
            <c:spPr>
              <a:solidFill>
                <a:schemeClr val="accent5">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1-EC24-48E9-A969-6BFC2D30EAF5}"/>
              </c:ext>
            </c:extLst>
          </c:dPt>
          <c:dPt>
            <c:idx val="17"/>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3-EC24-48E9-A969-6BFC2D30EAF5}"/>
              </c:ext>
            </c:extLst>
          </c:dPt>
          <c:dPt>
            <c:idx val="18"/>
            <c:bubble3D val="0"/>
            <c:spPr>
              <a:solidFill>
                <a:schemeClr val="accent1">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5-EC24-48E9-A969-6BFC2D30EAF5}"/>
              </c:ext>
            </c:extLst>
          </c:dPt>
          <c:dPt>
            <c:idx val="1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7-EC24-48E9-A969-6BFC2D30EAF5}"/>
              </c:ext>
            </c:extLst>
          </c:dPt>
          <c:dPt>
            <c:idx val="20"/>
            <c:bubble3D val="0"/>
            <c:spPr>
              <a:solidFill>
                <a:schemeClr val="accent3">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9-EC24-48E9-A969-6BFC2D30EAF5}"/>
              </c:ext>
            </c:extLst>
          </c:dPt>
          <c:dPt>
            <c:idx val="21"/>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B-EC24-48E9-A969-6BFC2D30EAF5}"/>
              </c:ext>
            </c:extLst>
          </c:dPt>
          <c:dPt>
            <c:idx val="22"/>
            <c:bubble3D val="0"/>
            <c:spPr>
              <a:solidFill>
                <a:schemeClr val="accent5">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D-EC24-48E9-A969-6BFC2D30EAF5}"/>
              </c:ext>
            </c:extLst>
          </c:dPt>
          <c:dPt>
            <c:idx val="23"/>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F-EC24-48E9-A969-6BFC2D30EAF5}"/>
              </c:ext>
            </c:extLst>
          </c:dPt>
          <c:dPt>
            <c:idx val="24"/>
            <c:bubble3D val="0"/>
            <c:spPr>
              <a:solidFill>
                <a:schemeClr val="accent1">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1-EC24-48E9-A969-6BFC2D30EAF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'Portfolio Analysis'!$A$4:$A$29</c:f>
              <c:strCache>
                <c:ptCount val="25"/>
                <c:pt idx="0">
                  <c:v>ADANIENT</c:v>
                </c:pt>
                <c:pt idx="1">
                  <c:v>ASIANPAINT</c:v>
                </c:pt>
                <c:pt idx="2">
                  <c:v>AXISBANK</c:v>
                </c:pt>
                <c:pt idx="3">
                  <c:v>BAJFINANCE</c:v>
                </c:pt>
                <c:pt idx="4">
                  <c:v>BHARTIARTL</c:v>
                </c:pt>
                <c:pt idx="5">
                  <c:v>CIPLA</c:v>
                </c:pt>
                <c:pt idx="6">
                  <c:v>COALINDIA</c:v>
                </c:pt>
                <c:pt idx="7">
                  <c:v>HCLTECH</c:v>
                </c:pt>
                <c:pt idx="8">
                  <c:v>HDFCBANK</c:v>
                </c:pt>
                <c:pt idx="9">
                  <c:v>ICICIBANK</c:v>
                </c:pt>
                <c:pt idx="10">
                  <c:v>INFY</c:v>
                </c:pt>
                <c:pt idx="11">
                  <c:v>ITC</c:v>
                </c:pt>
                <c:pt idx="12">
                  <c:v>LT</c:v>
                </c:pt>
                <c:pt idx="13">
                  <c:v>MARUTI</c:v>
                </c:pt>
                <c:pt idx="14">
                  <c:v>NESTLEIND</c:v>
                </c:pt>
                <c:pt idx="15">
                  <c:v>NTPC</c:v>
                </c:pt>
                <c:pt idx="16">
                  <c:v>POWERGRID</c:v>
                </c:pt>
                <c:pt idx="17">
                  <c:v>RELIANCE</c:v>
                </c:pt>
                <c:pt idx="18">
                  <c:v>SBIN</c:v>
                </c:pt>
                <c:pt idx="19">
                  <c:v>SUNPHARMA</c:v>
                </c:pt>
                <c:pt idx="20">
                  <c:v>TCS</c:v>
                </c:pt>
                <c:pt idx="21">
                  <c:v>TECHM</c:v>
                </c:pt>
                <c:pt idx="22">
                  <c:v>TITAN</c:v>
                </c:pt>
                <c:pt idx="23">
                  <c:v>ULTRACEMCO</c:v>
                </c:pt>
                <c:pt idx="24">
                  <c:v>WIPRO</c:v>
                </c:pt>
              </c:strCache>
            </c:strRef>
          </c:cat>
          <c:val>
            <c:numRef>
              <c:f>'Portfolio Analysis'!$B$4:$B$29</c:f>
              <c:numCache>
                <c:formatCode>General</c:formatCode>
                <c:ptCount val="25"/>
                <c:pt idx="0">
                  <c:v>231438.78</c:v>
                </c:pt>
                <c:pt idx="1">
                  <c:v>4209112.05</c:v>
                </c:pt>
                <c:pt idx="2">
                  <c:v>3191274.64</c:v>
                </c:pt>
                <c:pt idx="3">
                  <c:v>3761244.73</c:v>
                </c:pt>
                <c:pt idx="4">
                  <c:v>2495429.15</c:v>
                </c:pt>
                <c:pt idx="5">
                  <c:v>3202371.48</c:v>
                </c:pt>
                <c:pt idx="6">
                  <c:v>2206494.3000000003</c:v>
                </c:pt>
                <c:pt idx="7">
                  <c:v>1943586.77</c:v>
                </c:pt>
                <c:pt idx="8">
                  <c:v>2529032.0499999998</c:v>
                </c:pt>
                <c:pt idx="9">
                  <c:v>670679.23</c:v>
                </c:pt>
                <c:pt idx="10">
                  <c:v>2718747.5999999996</c:v>
                </c:pt>
                <c:pt idx="11">
                  <c:v>3204614.98</c:v>
                </c:pt>
                <c:pt idx="12">
                  <c:v>2516641.12</c:v>
                </c:pt>
                <c:pt idx="13">
                  <c:v>3620356.9299999997</c:v>
                </c:pt>
                <c:pt idx="14">
                  <c:v>1403378.1400000001</c:v>
                </c:pt>
                <c:pt idx="15">
                  <c:v>5248171.03</c:v>
                </c:pt>
                <c:pt idx="16">
                  <c:v>5135027.6500000004</c:v>
                </c:pt>
                <c:pt idx="17">
                  <c:v>238835.6</c:v>
                </c:pt>
                <c:pt idx="18">
                  <c:v>4629419.9400000004</c:v>
                </c:pt>
                <c:pt idx="19">
                  <c:v>614451.48</c:v>
                </c:pt>
                <c:pt idx="20">
                  <c:v>4784667.3900000006</c:v>
                </c:pt>
                <c:pt idx="21">
                  <c:v>1847214.52</c:v>
                </c:pt>
                <c:pt idx="22">
                  <c:v>2650490.9799999995</c:v>
                </c:pt>
                <c:pt idx="23">
                  <c:v>2989483.34</c:v>
                </c:pt>
                <c:pt idx="24">
                  <c:v>2204316.0300000003</c:v>
                </c:pt>
              </c:numCache>
            </c:numRef>
          </c:val>
          <c:extLst>
            <c:ext xmlns:c16="http://schemas.microsoft.com/office/drawing/2014/chart" uri="{C3380CC4-5D6E-409C-BE32-E72D297353CC}">
              <c16:uniqueId val="{00000032-EC24-48E9-A969-6BFC2D30EAF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[Final_excel_project.xlsm]Portfolio Analysis!PivotTable3</c:name>
    <c:fmtId val="5"/>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'Portfolio Analysis'!$E$3</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'Portfolio Analysis'!$D$4:$D$9</c:f>
              <c:strCache>
                <c:ptCount val="5"/>
                <c:pt idx="0">
                  <c:v>Angel One</c:v>
                </c:pt>
                <c:pt idx="1">
                  <c:v>Groww</c:v>
                </c:pt>
                <c:pt idx="2">
                  <c:v>ICICI Direct</c:v>
                </c:pt>
                <c:pt idx="3">
                  <c:v>Upstox</c:v>
                </c:pt>
                <c:pt idx="4">
                  <c:v>Zerodha</c:v>
                </c:pt>
              </c:strCache>
            </c:strRef>
          </c:cat>
          <c:val>
            <c:numRef>
              <c:f>'Portfolio Analysis'!$E$4:$E$9</c:f>
              <c:numCache>
                <c:formatCode>General</c:formatCode>
                <c:ptCount val="5"/>
                <c:pt idx="0">
                  <c:v>19</c:v>
                </c:pt>
                <c:pt idx="1">
                  <c:v>29</c:v>
                </c:pt>
                <c:pt idx="2">
                  <c:v>19</c:v>
                </c:pt>
                <c:pt idx="3">
                  <c:v>21</c:v>
                </c:pt>
                <c:pt idx="4">
                  <c:v>27</c:v>
                </c:pt>
              </c:numCache>
            </c:numRef>
          </c:val>
          <c:extLst>
            <c:ext xmlns:c16="http://schemas.microsoft.com/office/drawing/2014/chart" uri="{C3380CC4-5D6E-409C-BE32-E72D297353CC}">
              <c16:uniqueId val="{00000000-973E-41FA-AC12-2F3FEDA3697E}"/>
            </c:ext>
          </c:extLst>
        </c:ser>
        <c:dLbls>
          <c:showLegendKey val="0"/>
          <c:showVal val="0"/>
          <c:showCatName val="0"/>
          <c:showSerName val="0"/>
          <c:showPercent val="0"/>
          <c:showBubbleSize val="0"/>
        </c:dLbls>
        <c:gapWidth val="115"/>
        <c:overlap val="-20"/>
        <c:axId val="817391328"/>
        <c:axId val="817408128"/>
      </c:barChart>
      <c:catAx>
        <c:axId val="81739132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408128"/>
        <c:crosses val="autoZero"/>
        <c:auto val="1"/>
        <c:lblAlgn val="ctr"/>
        <c:lblOffset val="100"/>
        <c:noMultiLvlLbl val="0"/>
      </c:catAx>
      <c:valAx>
        <c:axId val="817408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39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[Final_excel_project.xlsm]Portfolio Analysis!PivotTable2</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205435957052766"/>
          <c:y val="0.22474754759740684"/>
          <c:w val="0.39234389209777115"/>
          <c:h val="0.65663588390019567"/>
        </c:manualLayout>
      </c:layout>
      <c:radarChart>
        <c:radarStyle val="marker"/>
        <c:varyColors val="0"/>
        <c:ser>
          <c:idx val="0"/>
          <c:order val="0"/>
          <c:tx>
            <c:strRef>
              <c:f>'Portfolio Analysis'!$H$3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'Portfolio Analysis'!$G$4:$G$29</c:f>
              <c:strCache>
                <c:ptCount val="25"/>
                <c:pt idx="0">
                  <c:v>ADANIENT</c:v>
                </c:pt>
                <c:pt idx="1">
                  <c:v>ASIANPAINT</c:v>
                </c:pt>
                <c:pt idx="2">
                  <c:v>AXISBANK</c:v>
                </c:pt>
                <c:pt idx="3">
                  <c:v>BAJFINANCE</c:v>
                </c:pt>
                <c:pt idx="4">
                  <c:v>BHARTIARTL</c:v>
                </c:pt>
                <c:pt idx="5">
                  <c:v>CIPLA</c:v>
                </c:pt>
                <c:pt idx="6">
                  <c:v>COALINDIA</c:v>
                </c:pt>
                <c:pt idx="7">
                  <c:v>HCLTECH</c:v>
                </c:pt>
                <c:pt idx="8">
                  <c:v>HDFCBANK</c:v>
                </c:pt>
                <c:pt idx="9">
                  <c:v>ICICIBANK</c:v>
                </c:pt>
                <c:pt idx="10">
                  <c:v>INFY</c:v>
                </c:pt>
                <c:pt idx="11">
                  <c:v>ITC</c:v>
                </c:pt>
                <c:pt idx="12">
                  <c:v>LT</c:v>
                </c:pt>
                <c:pt idx="13">
                  <c:v>MARUTI</c:v>
                </c:pt>
                <c:pt idx="14">
                  <c:v>NESTLEIND</c:v>
                </c:pt>
                <c:pt idx="15">
                  <c:v>NTPC</c:v>
                </c:pt>
                <c:pt idx="16">
                  <c:v>POWERGRID</c:v>
                </c:pt>
                <c:pt idx="17">
                  <c:v>RELIANCE</c:v>
                </c:pt>
                <c:pt idx="18">
                  <c:v>SBIN</c:v>
                </c:pt>
                <c:pt idx="19">
                  <c:v>SUNPHARMA</c:v>
                </c:pt>
                <c:pt idx="20">
                  <c:v>TCS</c:v>
                </c:pt>
                <c:pt idx="21">
                  <c:v>TECHM</c:v>
                </c:pt>
                <c:pt idx="22">
                  <c:v>TITAN</c:v>
                </c:pt>
                <c:pt idx="23">
                  <c:v>ULTRACEMCO</c:v>
                </c:pt>
                <c:pt idx="24">
                  <c:v>WIPRO</c:v>
                </c:pt>
              </c:strCache>
            </c:strRef>
          </c:cat>
          <c:val>
            <c:numRef>
              <c:f>'Portfolio Analysis'!$H$4:$H$29</c:f>
              <c:numCache>
                <c:formatCode>General</c:formatCode>
                <c:ptCount val="25"/>
                <c:pt idx="0">
                  <c:v>-33115.019999999968</c:v>
                </c:pt>
                <c:pt idx="1">
                  <c:v>-26997.379999999954</c:v>
                </c:pt>
                <c:pt idx="2">
                  <c:v>103713.66999999979</c:v>
                </c:pt>
                <c:pt idx="3">
                  <c:v>408406.76999999967</c:v>
                </c:pt>
                <c:pt idx="4">
                  <c:v>1006994.1499999998</c:v>
                </c:pt>
                <c:pt idx="5">
                  <c:v>13034.080000000075</c:v>
                </c:pt>
                <c:pt idx="6">
                  <c:v>87345.989999999831</c:v>
                </c:pt>
                <c:pt idx="7">
                  <c:v>73943.249999999767</c:v>
                </c:pt>
                <c:pt idx="8">
                  <c:v>241395.97000000018</c:v>
                </c:pt>
                <c:pt idx="9">
                  <c:v>-48044.109999999986</c:v>
                </c:pt>
                <c:pt idx="10">
                  <c:v>366787.6199999997</c:v>
                </c:pt>
                <c:pt idx="11">
                  <c:v>1903421.5799999996</c:v>
                </c:pt>
                <c:pt idx="12">
                  <c:v>-133689.35000000015</c:v>
                </c:pt>
                <c:pt idx="13">
                  <c:v>644363.6599999998</c:v>
                </c:pt>
                <c:pt idx="14">
                  <c:v>165987.62999999989</c:v>
                </c:pt>
                <c:pt idx="15">
                  <c:v>179324.69999999978</c:v>
                </c:pt>
                <c:pt idx="16">
                  <c:v>912475.14999999956</c:v>
                </c:pt>
                <c:pt idx="17">
                  <c:v>31298.049999999959</c:v>
                </c:pt>
                <c:pt idx="18">
                  <c:v>-391040.25000000006</c:v>
                </c:pt>
                <c:pt idx="19">
                  <c:v>18023.71</c:v>
                </c:pt>
                <c:pt idx="20">
                  <c:v>23769.669999999835</c:v>
                </c:pt>
                <c:pt idx="21">
                  <c:v>2724.2499999998836</c:v>
                </c:pt>
                <c:pt idx="22">
                  <c:v>232772.3300000001</c:v>
                </c:pt>
                <c:pt idx="23">
                  <c:v>169507.49999999983</c:v>
                </c:pt>
                <c:pt idx="24">
                  <c:v>-99303.350000000108</c:v>
                </c:pt>
              </c:numCache>
            </c:numRef>
          </c:val>
          <c:extLst>
            <c:ext xmlns:c16="http://schemas.microsoft.com/office/drawing/2014/chart" uri="{C3380CC4-5D6E-409C-BE32-E72D297353CC}">
              <c16:uniqueId val="{00000000-6504-45A7-9DAC-94410DF33FE4}"/>
            </c:ext>
          </c:extLst>
        </c:ser>
        <c:dLbls>
          <c:showLegendKey val="0"/>
          <c:showVal val="0"/>
          <c:showCatName val="0"/>
          <c:showSerName val="0"/>
          <c:showPercent val="0"/>
          <c:showBubbleSize val="0"/>
        </c:dLbls>
        <c:axId val="412604384"/>
        <c:axId val="412622896"/>
      </c:radarChart>
      <c:catAx>
        <c:axId val="41260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22896"/>
        <c:crosses val="autoZero"/>
        <c:auto val="1"/>
        <c:lblAlgn val="ctr"/>
        <c:lblOffset val="100"/>
        <c:noMultiLvlLbl val="0"/>
      </c:catAx>
      <c:valAx>
        <c:axId val="41262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04384"/>
        <c:crosses val="autoZero"/>
        <c:crossBetween val="between"/>
      </c:valAx>
      <c:spPr>
        <a:noFill/>
        <a:ln>
          <a:noFill/>
        </a:ln>
        <a:effectLst/>
      </c:spPr>
    </c:plotArea>
    <c:legend>
      <c:legendPos val="r"/>
      <c:layout>
        <c:manualLayout>
          <c:xMode val="edge"/>
          <c:yMode val="edge"/>
          <c:x val="0.81705531088919503"/>
          <c:y val="0.40832416447776598"/>
          <c:w val="0.13860800259736178"/>
          <c:h val="0.193044061265605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[Final_excel_project.xlsm]Portfolio Analysis!PivotTable1</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71505223896875"/>
          <c:y val="0.16129633024373749"/>
          <c:w val="0.49002093921085349"/>
          <c:h val="0.54533350764194766"/>
        </c:manualLayout>
      </c:layout>
      <c:barChart>
        <c:barDir val="col"/>
        <c:grouping val="clustered"/>
        <c:varyColors val="0"/>
        <c:ser>
          <c:idx val="0"/>
          <c:order val="0"/>
          <c:tx>
            <c:strRef>
              <c:f>'Portfolio Analysis'!$K$3</c:f>
              <c:strCache>
                <c:ptCount val="1"/>
                <c:pt idx="0">
                  <c:v>Sum of Investment_Value</c:v>
                </c:pt>
              </c:strCache>
            </c:strRef>
          </c:tx>
          <c:spPr>
            <a:solidFill>
              <a:schemeClr val="accent1"/>
            </a:solidFill>
            <a:ln>
              <a:noFill/>
            </a:ln>
            <a:effectLst/>
          </c:spPr>
          <c:invertIfNegative val="0"/>
          <c:cat>
            <c:strRef>
              <c:f>'Portfolio Analysis'!$J$4:$J$29</c:f>
              <c:strCache>
                <c:ptCount val="25"/>
                <c:pt idx="0">
                  <c:v>ADANIENT</c:v>
                </c:pt>
                <c:pt idx="1">
                  <c:v>ASIANPAINT</c:v>
                </c:pt>
                <c:pt idx="2">
                  <c:v>AXISBANK</c:v>
                </c:pt>
                <c:pt idx="3">
                  <c:v>BAJFINANCE</c:v>
                </c:pt>
                <c:pt idx="4">
                  <c:v>BHARTIARTL</c:v>
                </c:pt>
                <c:pt idx="5">
                  <c:v>CIPLA</c:v>
                </c:pt>
                <c:pt idx="6">
                  <c:v>COALINDIA</c:v>
                </c:pt>
                <c:pt idx="7">
                  <c:v>HCLTECH</c:v>
                </c:pt>
                <c:pt idx="8">
                  <c:v>HDFCBANK</c:v>
                </c:pt>
                <c:pt idx="9">
                  <c:v>ICICIBANK</c:v>
                </c:pt>
                <c:pt idx="10">
                  <c:v>INFY</c:v>
                </c:pt>
                <c:pt idx="11">
                  <c:v>ITC</c:v>
                </c:pt>
                <c:pt idx="12">
                  <c:v>LT</c:v>
                </c:pt>
                <c:pt idx="13">
                  <c:v>MARUTI</c:v>
                </c:pt>
                <c:pt idx="14">
                  <c:v>NESTLEIND</c:v>
                </c:pt>
                <c:pt idx="15">
                  <c:v>NTPC</c:v>
                </c:pt>
                <c:pt idx="16">
                  <c:v>POWERGRID</c:v>
                </c:pt>
                <c:pt idx="17">
                  <c:v>RELIANCE</c:v>
                </c:pt>
                <c:pt idx="18">
                  <c:v>SBIN</c:v>
                </c:pt>
                <c:pt idx="19">
                  <c:v>SUNPHARMA</c:v>
                </c:pt>
                <c:pt idx="20">
                  <c:v>TCS</c:v>
                </c:pt>
                <c:pt idx="21">
                  <c:v>TECHM</c:v>
                </c:pt>
                <c:pt idx="22">
                  <c:v>TITAN</c:v>
                </c:pt>
                <c:pt idx="23">
                  <c:v>ULTRACEMCO</c:v>
                </c:pt>
                <c:pt idx="24">
                  <c:v>WIPRO</c:v>
                </c:pt>
              </c:strCache>
            </c:strRef>
          </c:cat>
          <c:val>
            <c:numRef>
              <c:f>'Portfolio Analysis'!$K$4:$K$29</c:f>
              <c:numCache>
                <c:formatCode>General</c:formatCode>
                <c:ptCount val="25"/>
                <c:pt idx="0">
                  <c:v>231438.78</c:v>
                </c:pt>
                <c:pt idx="1">
                  <c:v>4209112.05</c:v>
                </c:pt>
                <c:pt idx="2">
                  <c:v>3191274.64</c:v>
                </c:pt>
                <c:pt idx="3">
                  <c:v>3761244.73</c:v>
                </c:pt>
                <c:pt idx="4">
                  <c:v>2495429.15</c:v>
                </c:pt>
                <c:pt idx="5">
                  <c:v>3202371.48</c:v>
                </c:pt>
                <c:pt idx="6">
                  <c:v>2206494.3000000003</c:v>
                </c:pt>
                <c:pt idx="7">
                  <c:v>1943586.77</c:v>
                </c:pt>
                <c:pt idx="8">
                  <c:v>2529032.0499999998</c:v>
                </c:pt>
                <c:pt idx="9">
                  <c:v>670679.23</c:v>
                </c:pt>
                <c:pt idx="10">
                  <c:v>2718747.5999999996</c:v>
                </c:pt>
                <c:pt idx="11">
                  <c:v>3204614.98</c:v>
                </c:pt>
                <c:pt idx="12">
                  <c:v>2516641.12</c:v>
                </c:pt>
                <c:pt idx="13">
                  <c:v>3620356.9299999997</c:v>
                </c:pt>
                <c:pt idx="14">
                  <c:v>1403378.1400000001</c:v>
                </c:pt>
                <c:pt idx="15">
                  <c:v>5248171.03</c:v>
                </c:pt>
                <c:pt idx="16">
                  <c:v>5135027.6500000004</c:v>
                </c:pt>
                <c:pt idx="17">
                  <c:v>238835.6</c:v>
                </c:pt>
                <c:pt idx="18">
                  <c:v>4629419.9400000004</c:v>
                </c:pt>
                <c:pt idx="19">
                  <c:v>614451.48</c:v>
                </c:pt>
                <c:pt idx="20">
                  <c:v>4784667.3900000006</c:v>
                </c:pt>
                <c:pt idx="21">
                  <c:v>1847214.52</c:v>
                </c:pt>
                <c:pt idx="22">
                  <c:v>2650490.9799999995</c:v>
                </c:pt>
                <c:pt idx="23">
                  <c:v>2989483.34</c:v>
                </c:pt>
                <c:pt idx="24">
                  <c:v>2204316.0300000003</c:v>
                </c:pt>
              </c:numCache>
            </c:numRef>
          </c:val>
          <c:extLst>
            <c:ext xmlns:c16="http://schemas.microsoft.com/office/drawing/2014/chart" uri="{C3380CC4-5D6E-409C-BE32-E72D297353CC}">
              <c16:uniqueId val="{00000000-F229-4877-8CAD-EF9DF67F3114}"/>
            </c:ext>
          </c:extLst>
        </c:ser>
        <c:dLbls>
          <c:showLegendKey val="0"/>
          <c:showVal val="0"/>
          <c:showCatName val="0"/>
          <c:showSerName val="0"/>
          <c:showPercent val="0"/>
          <c:showBubbleSize val="0"/>
        </c:dLbls>
        <c:gapWidth val="219"/>
        <c:axId val="412560704"/>
        <c:axId val="412564064"/>
      </c:barChart>
      <c:lineChart>
        <c:grouping val="standard"/>
        <c:varyColors val="0"/>
        <c:ser>
          <c:idx val="1"/>
          <c:order val="1"/>
          <c:tx>
            <c:strRef>
              <c:f>'Portfolio Analysis'!$L$3</c:f>
              <c:strCache>
                <c:ptCount val="1"/>
                <c:pt idx="0">
                  <c:v>Sum of Current_Value</c:v>
                </c:pt>
              </c:strCache>
            </c:strRef>
          </c:tx>
          <c:spPr>
            <a:ln w="28575" cap="rnd">
              <a:solidFill>
                <a:schemeClr val="accent2"/>
              </a:solidFill>
              <a:round/>
            </a:ln>
            <a:effectLst/>
          </c:spPr>
          <c:marker>
            <c:symbol val="none"/>
          </c:marker>
          <c:cat>
            <c:strRef>
              <c:f>'Portfolio Analysis'!$J$4:$J$29</c:f>
              <c:strCache>
                <c:ptCount val="25"/>
                <c:pt idx="0">
                  <c:v>ADANIENT</c:v>
                </c:pt>
                <c:pt idx="1">
                  <c:v>ASIANPAINT</c:v>
                </c:pt>
                <c:pt idx="2">
                  <c:v>AXISBANK</c:v>
                </c:pt>
                <c:pt idx="3">
                  <c:v>BAJFINANCE</c:v>
                </c:pt>
                <c:pt idx="4">
                  <c:v>BHARTIARTL</c:v>
                </c:pt>
                <c:pt idx="5">
                  <c:v>CIPLA</c:v>
                </c:pt>
                <c:pt idx="6">
                  <c:v>COALINDIA</c:v>
                </c:pt>
                <c:pt idx="7">
                  <c:v>HCLTECH</c:v>
                </c:pt>
                <c:pt idx="8">
                  <c:v>HDFCBANK</c:v>
                </c:pt>
                <c:pt idx="9">
                  <c:v>ICICIBANK</c:v>
                </c:pt>
                <c:pt idx="10">
                  <c:v>INFY</c:v>
                </c:pt>
                <c:pt idx="11">
                  <c:v>ITC</c:v>
                </c:pt>
                <c:pt idx="12">
                  <c:v>LT</c:v>
                </c:pt>
                <c:pt idx="13">
                  <c:v>MARUTI</c:v>
                </c:pt>
                <c:pt idx="14">
                  <c:v>NESTLEIND</c:v>
                </c:pt>
                <c:pt idx="15">
                  <c:v>NTPC</c:v>
                </c:pt>
                <c:pt idx="16">
                  <c:v>POWERGRID</c:v>
                </c:pt>
                <c:pt idx="17">
                  <c:v>RELIANCE</c:v>
                </c:pt>
                <c:pt idx="18">
                  <c:v>SBIN</c:v>
                </c:pt>
                <c:pt idx="19">
                  <c:v>SUNPHARMA</c:v>
                </c:pt>
                <c:pt idx="20">
                  <c:v>TCS</c:v>
                </c:pt>
                <c:pt idx="21">
                  <c:v>TECHM</c:v>
                </c:pt>
                <c:pt idx="22">
                  <c:v>TITAN</c:v>
                </c:pt>
                <c:pt idx="23">
                  <c:v>ULTRACEMCO</c:v>
                </c:pt>
                <c:pt idx="24">
                  <c:v>WIPRO</c:v>
                </c:pt>
              </c:strCache>
            </c:strRef>
          </c:cat>
          <c:val>
            <c:numRef>
              <c:f>'Portfolio Analysis'!$L$4:$L$29</c:f>
              <c:numCache>
                <c:formatCode>General</c:formatCode>
                <c:ptCount val="25"/>
                <c:pt idx="0">
                  <c:v>198323.76</c:v>
                </c:pt>
                <c:pt idx="1">
                  <c:v>4182114.6700000004</c:v>
                </c:pt>
                <c:pt idx="2">
                  <c:v>3294988.31</c:v>
                </c:pt>
                <c:pt idx="3">
                  <c:v>4169651.4999999995</c:v>
                </c:pt>
                <c:pt idx="4">
                  <c:v>3502423.3</c:v>
                </c:pt>
                <c:pt idx="5">
                  <c:v>3215405.5599999996</c:v>
                </c:pt>
                <c:pt idx="6">
                  <c:v>2293840.2900000005</c:v>
                </c:pt>
                <c:pt idx="7">
                  <c:v>2017530.02</c:v>
                </c:pt>
                <c:pt idx="8">
                  <c:v>2770428.02</c:v>
                </c:pt>
                <c:pt idx="9">
                  <c:v>622635.12</c:v>
                </c:pt>
                <c:pt idx="10">
                  <c:v>3085535.2199999997</c:v>
                </c:pt>
                <c:pt idx="11">
                  <c:v>5108036.5599999996</c:v>
                </c:pt>
                <c:pt idx="12">
                  <c:v>2382951.77</c:v>
                </c:pt>
                <c:pt idx="13">
                  <c:v>4264720.59</c:v>
                </c:pt>
                <c:pt idx="14">
                  <c:v>1569365.7700000003</c:v>
                </c:pt>
                <c:pt idx="15">
                  <c:v>5427495.7299999995</c:v>
                </c:pt>
                <c:pt idx="16">
                  <c:v>6047502.7999999998</c:v>
                </c:pt>
                <c:pt idx="17">
                  <c:v>270133.64999999997</c:v>
                </c:pt>
                <c:pt idx="18">
                  <c:v>4238379.6899999995</c:v>
                </c:pt>
                <c:pt idx="19">
                  <c:v>632475.19000000006</c:v>
                </c:pt>
                <c:pt idx="20">
                  <c:v>4808437.0600000005</c:v>
                </c:pt>
                <c:pt idx="21">
                  <c:v>1849938.77</c:v>
                </c:pt>
                <c:pt idx="22">
                  <c:v>2883263.31</c:v>
                </c:pt>
                <c:pt idx="23">
                  <c:v>3158990.84</c:v>
                </c:pt>
                <c:pt idx="24">
                  <c:v>2105012.6799999997</c:v>
                </c:pt>
              </c:numCache>
            </c:numRef>
          </c:val>
          <c:smooth val="0"/>
          <c:extLst>
            <c:ext xmlns:c16="http://schemas.microsoft.com/office/drawing/2014/chart" uri="{C3380CC4-5D6E-409C-BE32-E72D297353CC}">
              <c16:uniqueId val="{00000001-F229-4877-8CAD-EF9DF67F3114}"/>
            </c:ext>
          </c:extLst>
        </c:ser>
        <c:dLbls>
          <c:showLegendKey val="0"/>
          <c:showVal val="0"/>
          <c:showCatName val="0"/>
          <c:showSerName val="0"/>
          <c:showPercent val="0"/>
          <c:showBubbleSize val="0"/>
        </c:dLbls>
        <c:marker val="1"/>
        <c:smooth val="0"/>
        <c:axId val="412560704"/>
        <c:axId val="412564064"/>
      </c:lineChart>
      <c:catAx>
        <c:axId val="41256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64064"/>
        <c:crosses val="autoZero"/>
        <c:auto val="1"/>
        <c:lblAlgn val="ctr"/>
        <c:lblOffset val="100"/>
        <c:noMultiLvlLbl val="0"/>
      </c:catAx>
      <c:valAx>
        <c:axId val="412564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560704"/>
        <c:crosses val="autoZero"/>
        <c:crossBetween val="between"/>
      </c:valAx>
      <c:spPr>
        <a:noFill/>
        <a:ln>
          <a:noFill/>
        </a:ln>
        <a:effectLst/>
      </c:spPr>
    </c:plotArea>
    <c:legend>
      <c:legendPos val="r"/>
      <c:layout>
        <c:manualLayout>
          <c:xMode val="edge"/>
          <c:yMode val="edge"/>
          <c:x val="0.64443447255860464"/>
          <c:y val="0.69413366305901381"/>
          <c:w val="0.35272384234519161"/>
          <c:h val="0.223906109979484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Dashboard!A1"/><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15</xdr:col>
      <xdr:colOff>281940</xdr:colOff>
      <xdr:row>5</xdr:row>
      <xdr:rowOff>91440</xdr:rowOff>
    </xdr:from>
    <xdr:to>
      <xdr:col>18</xdr:col>
      <xdr:colOff>152400</xdr:colOff>
      <xdr:row>10</xdr:row>
      <xdr:rowOff>144780</xdr:rowOff>
    </xdr:to>
    <xdr:sp macro="" textlink="">
      <xdr:nvSpPr>
        <xdr:cNvPr id="4" name="Arrow: Striped Right 3">
          <a:hlinkClick xmlns:r="http://schemas.openxmlformats.org/officeDocument/2006/relationships" r:id="rId1"/>
          <a:extLst>
            <a:ext uri="{FF2B5EF4-FFF2-40B4-BE49-F238E27FC236}">
              <a16:creationId xmlns:a16="http://schemas.microsoft.com/office/drawing/2014/main" id="{7D7198C8-5D10-A5FD-2838-07824F2E06A1}"/>
            </a:ext>
          </a:extLst>
        </xdr:cNvPr>
        <xdr:cNvSpPr/>
      </xdr:nvSpPr>
      <xdr:spPr>
        <a:xfrm rot="10800000">
          <a:off x="11414760" y="1005840"/>
          <a:ext cx="1699260" cy="982980"/>
        </a:xfrm>
        <a:prstGeom prst="strip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3</xdr:row>
      <xdr:rowOff>0</xdr:rowOff>
    </xdr:from>
    <xdr:to>
      <xdr:col>16</xdr:col>
      <xdr:colOff>476516</xdr:colOff>
      <xdr:row>8</xdr:row>
      <xdr:rowOff>52631</xdr:rowOff>
    </xdr:to>
    <xdr:sp macro="" textlink="">
      <xdr:nvSpPr>
        <xdr:cNvPr id="2" name="Arrow: Striped Right 1">
          <a:hlinkClick xmlns:r="http://schemas.openxmlformats.org/officeDocument/2006/relationships" r:id="rId1"/>
          <a:extLst>
            <a:ext uri="{FF2B5EF4-FFF2-40B4-BE49-F238E27FC236}">
              <a16:creationId xmlns:a16="http://schemas.microsoft.com/office/drawing/2014/main" id="{5A2C4660-2029-4B07-AFF5-51C5564AC961}"/>
            </a:ext>
          </a:extLst>
        </xdr:cNvPr>
        <xdr:cNvSpPr/>
      </xdr:nvSpPr>
      <xdr:spPr>
        <a:xfrm rot="10800000">
          <a:off x="19236070" y="930349"/>
          <a:ext cx="1699260" cy="982980"/>
        </a:xfrm>
        <a:prstGeom prst="strip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655320</xdr:colOff>
      <xdr:row>15</xdr:row>
      <xdr:rowOff>45720</xdr:rowOff>
    </xdr:from>
    <xdr:to>
      <xdr:col>4</xdr:col>
      <xdr:colOff>1493520</xdr:colOff>
      <xdr:row>17</xdr:row>
      <xdr:rowOff>38100</xdr:rowOff>
    </xdr:to>
    <xdr:sp macro="[0]!addStock" textlink="">
      <xdr:nvSpPr>
        <xdr:cNvPr id="2" name="Rectangle: Rounded Corners 1">
          <a:extLst>
            <a:ext uri="{FF2B5EF4-FFF2-40B4-BE49-F238E27FC236}">
              <a16:creationId xmlns:a16="http://schemas.microsoft.com/office/drawing/2014/main" id="{A77B82C5-EDD4-54C3-666B-798F2F87018F}"/>
            </a:ext>
          </a:extLst>
        </xdr:cNvPr>
        <xdr:cNvSpPr/>
      </xdr:nvSpPr>
      <xdr:spPr>
        <a:xfrm>
          <a:off x="3810000" y="2529840"/>
          <a:ext cx="838200" cy="358140"/>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 </a:t>
          </a:r>
          <a:r>
            <a:rPr lang="en-US" sz="1100" b="1"/>
            <a:t>Add Stock</a:t>
          </a:r>
        </a:p>
      </xdr:txBody>
    </xdr:sp>
    <xdr:clientData/>
  </xdr:twoCellAnchor>
  <xdr:twoCellAnchor>
    <xdr:from>
      <xdr:col>13</xdr:col>
      <xdr:colOff>0</xdr:colOff>
      <xdr:row>4</xdr:row>
      <xdr:rowOff>0</xdr:rowOff>
    </xdr:from>
    <xdr:to>
      <xdr:col>15</xdr:col>
      <xdr:colOff>480060</xdr:colOff>
      <xdr:row>8</xdr:row>
      <xdr:rowOff>68580</xdr:rowOff>
    </xdr:to>
    <xdr:sp macro="" textlink="">
      <xdr:nvSpPr>
        <xdr:cNvPr id="3" name="Arrow: Striped Right 2">
          <a:hlinkClick xmlns:r="http://schemas.openxmlformats.org/officeDocument/2006/relationships" r:id="rId1"/>
          <a:extLst>
            <a:ext uri="{FF2B5EF4-FFF2-40B4-BE49-F238E27FC236}">
              <a16:creationId xmlns:a16="http://schemas.microsoft.com/office/drawing/2014/main" id="{B7AB1BE2-0AC2-487F-8E15-5EE4EA00F7BF}"/>
            </a:ext>
          </a:extLst>
        </xdr:cNvPr>
        <xdr:cNvSpPr/>
      </xdr:nvSpPr>
      <xdr:spPr>
        <a:xfrm rot="10800000">
          <a:off x="10020300" y="906780"/>
          <a:ext cx="1699260" cy="982980"/>
        </a:xfrm>
        <a:prstGeom prst="strip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0</xdr:colOff>
      <xdr:row>6</xdr:row>
      <xdr:rowOff>0</xdr:rowOff>
    </xdr:from>
    <xdr:to>
      <xdr:col>18</xdr:col>
      <xdr:colOff>480060</xdr:colOff>
      <xdr:row>11</xdr:row>
      <xdr:rowOff>68580</xdr:rowOff>
    </xdr:to>
    <xdr:sp macro="" textlink="">
      <xdr:nvSpPr>
        <xdr:cNvPr id="2" name="Arrow: Striped Right 1">
          <a:hlinkClick xmlns:r="http://schemas.openxmlformats.org/officeDocument/2006/relationships" r:id="rId1"/>
          <a:extLst>
            <a:ext uri="{FF2B5EF4-FFF2-40B4-BE49-F238E27FC236}">
              <a16:creationId xmlns:a16="http://schemas.microsoft.com/office/drawing/2014/main" id="{487033B3-ADD5-4566-990F-E101B6DB9E2C}"/>
            </a:ext>
          </a:extLst>
        </xdr:cNvPr>
        <xdr:cNvSpPr/>
      </xdr:nvSpPr>
      <xdr:spPr>
        <a:xfrm rot="10800000">
          <a:off x="12092940" y="1097280"/>
          <a:ext cx="1699260" cy="982980"/>
        </a:xfrm>
        <a:prstGeom prst="strip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5</xdr:row>
      <xdr:rowOff>0</xdr:rowOff>
    </xdr:from>
    <xdr:to>
      <xdr:col>14</xdr:col>
      <xdr:colOff>876300</xdr:colOff>
      <xdr:row>10</xdr:row>
      <xdr:rowOff>68580</xdr:rowOff>
    </xdr:to>
    <xdr:sp macro="" textlink="">
      <xdr:nvSpPr>
        <xdr:cNvPr id="2" name="Arrow: Striped Right 1">
          <a:hlinkClick xmlns:r="http://schemas.openxmlformats.org/officeDocument/2006/relationships" r:id="rId1"/>
          <a:extLst>
            <a:ext uri="{FF2B5EF4-FFF2-40B4-BE49-F238E27FC236}">
              <a16:creationId xmlns:a16="http://schemas.microsoft.com/office/drawing/2014/main" id="{E96D64DF-872B-4135-8D96-AD549A2AA8B4}"/>
            </a:ext>
          </a:extLst>
        </xdr:cNvPr>
        <xdr:cNvSpPr/>
      </xdr:nvSpPr>
      <xdr:spPr>
        <a:xfrm rot="10800000">
          <a:off x="14798040" y="914400"/>
          <a:ext cx="1699260" cy="982980"/>
        </a:xfrm>
        <a:prstGeom prst="strip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39688</xdr:colOff>
      <xdr:row>17</xdr:row>
      <xdr:rowOff>166053</xdr:rowOff>
    </xdr:from>
    <xdr:to>
      <xdr:col>7</xdr:col>
      <xdr:colOff>344488</xdr:colOff>
      <xdr:row>35</xdr:row>
      <xdr:rowOff>15875</xdr:rowOff>
    </xdr:to>
    <xdr:graphicFrame macro="">
      <xdr:nvGraphicFramePr>
        <xdr:cNvPr id="2" name="Chart 1">
          <a:extLst>
            <a:ext uri="{FF2B5EF4-FFF2-40B4-BE49-F238E27FC236}">
              <a16:creationId xmlns:a16="http://schemas.microsoft.com/office/drawing/2014/main" id="{B9887DF0-2ADF-4F0A-BC1D-D43927D6C1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349250</xdr:colOff>
      <xdr:row>18</xdr:row>
      <xdr:rowOff>7938</xdr:rowOff>
    </xdr:from>
    <xdr:to>
      <xdr:col>10</xdr:col>
      <xdr:colOff>349251</xdr:colOff>
      <xdr:row>35</xdr:row>
      <xdr:rowOff>0</xdr:rowOff>
    </xdr:to>
    <mc:AlternateContent xmlns:mc="http://schemas.openxmlformats.org/markup-compatibility/2006">
      <mc:Choice xmlns:a14="http://schemas.microsoft.com/office/drawing/2010/main" Requires="a14">
        <xdr:graphicFrame macro="">
          <xdr:nvGraphicFramePr>
            <xdr:cNvPr id="3" name="Sector 1">
              <a:extLst>
                <a:ext uri="{FF2B5EF4-FFF2-40B4-BE49-F238E27FC236}">
                  <a16:creationId xmlns:a16="http://schemas.microsoft.com/office/drawing/2014/main" id="{9973AB0A-9EC4-46C0-8F2D-8E79E00BBE3A}"/>
                </a:ext>
              </a:extLst>
            </xdr:cNvPr>
            <xdr:cNvGraphicFramePr/>
          </xdr:nvGraphicFramePr>
          <xdr:xfrm>
            <a:off x="0" y="0"/>
            <a:ext cx="0" cy="0"/>
          </xdr:xfrm>
          <a:graphic>
            <a:graphicData uri="http://schemas.microsoft.com/office/drawing/2010/slicer">
              <sle:slicer xmlns:sle="http://schemas.microsoft.com/office/drawing/2010/slicer" name="Sector 1"/>
            </a:graphicData>
          </a:graphic>
        </xdr:graphicFrame>
      </mc:Choice>
      <mc:Fallback>
        <xdr:sp macro="" textlink="">
          <xdr:nvSpPr>
            <xdr:cNvPr id="0" name=""/>
            <xdr:cNvSpPr>
              <a:spLocks noTextEdit="1"/>
            </xdr:cNvSpPr>
          </xdr:nvSpPr>
          <xdr:spPr>
            <a:xfrm>
              <a:off x="4627563" y="3294063"/>
              <a:ext cx="1833563" cy="3095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392430</xdr:colOff>
      <xdr:row>17</xdr:row>
      <xdr:rowOff>173988</xdr:rowOff>
    </xdr:from>
    <xdr:to>
      <xdr:col>18</xdr:col>
      <xdr:colOff>86042</xdr:colOff>
      <xdr:row>35</xdr:row>
      <xdr:rowOff>63500</xdr:rowOff>
    </xdr:to>
    <xdr:graphicFrame macro="">
      <xdr:nvGraphicFramePr>
        <xdr:cNvPr id="4" name="Chart 3">
          <a:extLst>
            <a:ext uri="{FF2B5EF4-FFF2-40B4-BE49-F238E27FC236}">
              <a16:creationId xmlns:a16="http://schemas.microsoft.com/office/drawing/2014/main" id="{73BF4BE4-D68E-4D87-9693-89425E95F1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95251</xdr:colOff>
      <xdr:row>17</xdr:row>
      <xdr:rowOff>174623</xdr:rowOff>
    </xdr:from>
    <xdr:to>
      <xdr:col>21</xdr:col>
      <xdr:colOff>47625</xdr:colOff>
      <xdr:row>35</xdr:row>
      <xdr:rowOff>31750</xdr:rowOff>
    </xdr:to>
    <mc:AlternateContent xmlns:mc="http://schemas.openxmlformats.org/markup-compatibility/2006">
      <mc:Choice xmlns:a14="http://schemas.microsoft.com/office/drawing/2010/main" Requires="a14">
        <xdr:graphicFrame macro="">
          <xdr:nvGraphicFramePr>
            <xdr:cNvPr id="5" name="Sector">
              <a:extLst>
                <a:ext uri="{FF2B5EF4-FFF2-40B4-BE49-F238E27FC236}">
                  <a16:creationId xmlns:a16="http://schemas.microsoft.com/office/drawing/2014/main" id="{8FC56BB4-951E-43DD-9052-3B9100E0112C}"/>
                </a:ext>
              </a:extLst>
            </xdr:cNvPr>
            <xdr:cNvGraphicFramePr/>
          </xdr:nvGraphicFramePr>
          <xdr:xfrm>
            <a:off x="0" y="0"/>
            <a:ext cx="0" cy="0"/>
          </xdr:xfrm>
          <a:graphic>
            <a:graphicData uri="http://schemas.microsoft.com/office/drawing/2010/slicer">
              <sle:slicer xmlns:sle="http://schemas.microsoft.com/office/drawing/2010/slicer" name="Sector"/>
            </a:graphicData>
          </a:graphic>
        </xdr:graphicFrame>
      </mc:Choice>
      <mc:Fallback>
        <xdr:sp macro="" textlink="">
          <xdr:nvSpPr>
            <xdr:cNvPr id="0" name=""/>
            <xdr:cNvSpPr>
              <a:spLocks noTextEdit="1"/>
            </xdr:cNvSpPr>
          </xdr:nvSpPr>
          <xdr:spPr>
            <a:xfrm>
              <a:off x="11096626" y="3278186"/>
              <a:ext cx="1785937" cy="31432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357188</xdr:colOff>
      <xdr:row>2</xdr:row>
      <xdr:rowOff>164466</xdr:rowOff>
    </xdr:from>
    <xdr:to>
      <xdr:col>18</xdr:col>
      <xdr:colOff>50800</xdr:colOff>
      <xdr:row>17</xdr:row>
      <xdr:rowOff>164465</xdr:rowOff>
    </xdr:to>
    <xdr:graphicFrame macro="">
      <xdr:nvGraphicFramePr>
        <xdr:cNvPr id="6" name="Chart 5">
          <a:extLst>
            <a:ext uri="{FF2B5EF4-FFF2-40B4-BE49-F238E27FC236}">
              <a16:creationId xmlns:a16="http://schemas.microsoft.com/office/drawing/2014/main" id="{59F92110-AA0D-4268-ABE7-150BC187D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18</xdr:col>
      <xdr:colOff>71438</xdr:colOff>
      <xdr:row>3</xdr:row>
      <xdr:rowOff>7938</xdr:rowOff>
    </xdr:from>
    <xdr:to>
      <xdr:col>21</xdr:col>
      <xdr:colOff>71437</xdr:colOff>
      <xdr:row>17</xdr:row>
      <xdr:rowOff>150812</xdr:rowOff>
    </xdr:to>
    <mc:AlternateContent xmlns:mc="http://schemas.openxmlformats.org/markup-compatibility/2006">
      <mc:Choice xmlns:a14="http://schemas.microsoft.com/office/drawing/2010/main" Requires="a14">
        <xdr:graphicFrame macro="">
          <xdr:nvGraphicFramePr>
            <xdr:cNvPr id="7" name="Broker 1">
              <a:extLst>
                <a:ext uri="{FF2B5EF4-FFF2-40B4-BE49-F238E27FC236}">
                  <a16:creationId xmlns:a16="http://schemas.microsoft.com/office/drawing/2014/main" id="{49EF4195-BEBF-4091-97E6-5FF077097104}"/>
                </a:ext>
              </a:extLst>
            </xdr:cNvPr>
            <xdr:cNvGraphicFramePr/>
          </xdr:nvGraphicFramePr>
          <xdr:xfrm>
            <a:off x="0" y="0"/>
            <a:ext cx="0" cy="0"/>
          </xdr:xfrm>
          <a:graphic>
            <a:graphicData uri="http://schemas.microsoft.com/office/drawing/2010/slicer">
              <sle:slicer xmlns:sle="http://schemas.microsoft.com/office/drawing/2010/slicer" name="Broker 1"/>
            </a:graphicData>
          </a:graphic>
        </xdr:graphicFrame>
      </mc:Choice>
      <mc:Fallback>
        <xdr:sp macro="" textlink="">
          <xdr:nvSpPr>
            <xdr:cNvPr id="0" name=""/>
            <xdr:cNvSpPr>
              <a:spLocks noTextEdit="1"/>
            </xdr:cNvSpPr>
          </xdr:nvSpPr>
          <xdr:spPr>
            <a:xfrm>
              <a:off x="11072813" y="555626"/>
              <a:ext cx="1833562" cy="2698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31750</xdr:colOff>
      <xdr:row>2</xdr:row>
      <xdr:rowOff>150812</xdr:rowOff>
    </xdr:from>
    <xdr:to>
      <xdr:col>7</xdr:col>
      <xdr:colOff>361949</xdr:colOff>
      <xdr:row>17</xdr:row>
      <xdr:rowOff>150812</xdr:rowOff>
    </xdr:to>
    <xdr:graphicFrame macro="">
      <xdr:nvGraphicFramePr>
        <xdr:cNvPr id="8" name="Chart 7">
          <a:extLst>
            <a:ext uri="{FF2B5EF4-FFF2-40B4-BE49-F238E27FC236}">
              <a16:creationId xmlns:a16="http://schemas.microsoft.com/office/drawing/2014/main" id="{988FE703-5C59-4C43-AE19-C697B47F58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373062</xdr:colOff>
      <xdr:row>3</xdr:row>
      <xdr:rowOff>0</xdr:rowOff>
    </xdr:from>
    <xdr:to>
      <xdr:col>10</xdr:col>
      <xdr:colOff>368300</xdr:colOff>
      <xdr:row>17</xdr:row>
      <xdr:rowOff>150812</xdr:rowOff>
    </xdr:to>
    <mc:AlternateContent xmlns:mc="http://schemas.openxmlformats.org/markup-compatibility/2006">
      <mc:Choice xmlns:a14="http://schemas.microsoft.com/office/drawing/2010/main" Requires="a14">
        <xdr:graphicFrame macro="">
          <xdr:nvGraphicFramePr>
            <xdr:cNvPr id="9" name="Broker">
              <a:extLst>
                <a:ext uri="{FF2B5EF4-FFF2-40B4-BE49-F238E27FC236}">
                  <a16:creationId xmlns:a16="http://schemas.microsoft.com/office/drawing/2014/main" id="{87967F95-4764-4C16-8DDC-48476EB6AA4D}"/>
                </a:ext>
              </a:extLst>
            </xdr:cNvPr>
            <xdr:cNvGraphicFramePr/>
          </xdr:nvGraphicFramePr>
          <xdr:xfrm>
            <a:off x="0" y="0"/>
            <a:ext cx="0" cy="0"/>
          </xdr:xfrm>
          <a:graphic>
            <a:graphicData uri="http://schemas.microsoft.com/office/drawing/2010/slicer">
              <sle:slicer xmlns:sle="http://schemas.microsoft.com/office/drawing/2010/slicer" name="Broker"/>
            </a:graphicData>
          </a:graphic>
        </xdr:graphicFrame>
      </mc:Choice>
      <mc:Fallback>
        <xdr:sp macro="" textlink="">
          <xdr:nvSpPr>
            <xdr:cNvPr id="0" name=""/>
            <xdr:cNvSpPr>
              <a:spLocks noTextEdit="1"/>
            </xdr:cNvSpPr>
          </xdr:nvSpPr>
          <xdr:spPr>
            <a:xfrm>
              <a:off x="4651375" y="547688"/>
              <a:ext cx="1828800" cy="27066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230188</xdr:colOff>
      <xdr:row>20</xdr:row>
      <xdr:rowOff>31751</xdr:rowOff>
    </xdr:from>
    <xdr:to>
      <xdr:col>31</xdr:col>
      <xdr:colOff>225425</xdr:colOff>
      <xdr:row>33</xdr:row>
      <xdr:rowOff>125413</xdr:rowOff>
    </xdr:to>
    <mc:AlternateContent xmlns:mc="http://schemas.openxmlformats.org/markup-compatibility/2006">
      <mc:Choice xmlns:a14="http://schemas.microsoft.com/office/drawing/2010/main" Requires="a14">
        <xdr:graphicFrame macro="">
          <xdr:nvGraphicFramePr>
            <xdr:cNvPr id="10" name="Portfolio_Type">
              <a:extLst>
                <a:ext uri="{FF2B5EF4-FFF2-40B4-BE49-F238E27FC236}">
                  <a16:creationId xmlns:a16="http://schemas.microsoft.com/office/drawing/2014/main" id="{A083E190-399A-4F4E-8058-34C8ACFFC5CE}"/>
                </a:ext>
              </a:extLst>
            </xdr:cNvPr>
            <xdr:cNvGraphicFramePr/>
          </xdr:nvGraphicFramePr>
          <xdr:xfrm>
            <a:off x="0" y="0"/>
            <a:ext cx="0" cy="0"/>
          </xdr:xfrm>
          <a:graphic>
            <a:graphicData uri="http://schemas.microsoft.com/office/drawing/2010/slicer">
              <sle:slicer xmlns:sle="http://schemas.microsoft.com/office/drawing/2010/slicer" name="Portfolio_Type"/>
            </a:graphicData>
          </a:graphic>
        </xdr:graphicFrame>
      </mc:Choice>
      <mc:Fallback>
        <xdr:sp macro="" textlink="">
          <xdr:nvSpPr>
            <xdr:cNvPr id="0" name=""/>
            <xdr:cNvSpPr>
              <a:spLocks noTextEdit="1"/>
            </xdr:cNvSpPr>
          </xdr:nvSpPr>
          <xdr:spPr>
            <a:xfrm>
              <a:off x="17343438" y="3683001"/>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61595</xdr:colOff>
      <xdr:row>17</xdr:row>
      <xdr:rowOff>153988</xdr:rowOff>
    </xdr:from>
    <xdr:to>
      <xdr:col>23</xdr:col>
      <xdr:colOff>317500</xdr:colOff>
      <xdr:row>34</xdr:row>
      <xdr:rowOff>174626</xdr:rowOff>
    </xdr:to>
    <mc:AlternateContent xmlns:mc="http://schemas.openxmlformats.org/markup-compatibility/2006">
      <mc:Choice xmlns:a14="http://schemas.microsoft.com/office/drawing/2010/main" Requires="a14">
        <xdr:graphicFrame macro="">
          <xdr:nvGraphicFramePr>
            <xdr:cNvPr id="11" name="Portfolio_Type 1">
              <a:extLst>
                <a:ext uri="{FF2B5EF4-FFF2-40B4-BE49-F238E27FC236}">
                  <a16:creationId xmlns:a16="http://schemas.microsoft.com/office/drawing/2014/main" id="{D9CFA71B-10CB-ABA8-E235-4A826F6FED95}"/>
                </a:ext>
              </a:extLst>
            </xdr:cNvPr>
            <xdr:cNvGraphicFramePr/>
          </xdr:nvGraphicFramePr>
          <xdr:xfrm>
            <a:off x="0" y="0"/>
            <a:ext cx="0" cy="0"/>
          </xdr:xfrm>
          <a:graphic>
            <a:graphicData uri="http://schemas.microsoft.com/office/drawing/2010/slicer">
              <sle:slicer xmlns:sle="http://schemas.microsoft.com/office/drawing/2010/slicer" name="Portfolio_Type 1"/>
            </a:graphicData>
          </a:graphic>
        </xdr:graphicFrame>
      </mc:Choice>
      <mc:Fallback>
        <xdr:sp macro="" textlink="">
          <xdr:nvSpPr>
            <xdr:cNvPr id="0" name=""/>
            <xdr:cNvSpPr>
              <a:spLocks noTextEdit="1"/>
            </xdr:cNvSpPr>
          </xdr:nvSpPr>
          <xdr:spPr>
            <a:xfrm>
              <a:off x="12896533" y="3257551"/>
              <a:ext cx="1478280" cy="3124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40</xdr:row>
      <xdr:rowOff>0</xdr:rowOff>
    </xdr:from>
    <xdr:to>
      <xdr:col>15</xdr:col>
      <xdr:colOff>476885</xdr:colOff>
      <xdr:row>45</xdr:row>
      <xdr:rowOff>70167</xdr:rowOff>
    </xdr:to>
    <xdr:sp macro="" textlink="">
      <xdr:nvSpPr>
        <xdr:cNvPr id="12" name="Arrow: Striped Right 11">
          <a:hlinkClick xmlns:r="http://schemas.openxmlformats.org/officeDocument/2006/relationships" r:id="rId5"/>
          <a:extLst>
            <a:ext uri="{FF2B5EF4-FFF2-40B4-BE49-F238E27FC236}">
              <a16:creationId xmlns:a16="http://schemas.microsoft.com/office/drawing/2014/main" id="{A0DFD7D8-A2A1-40FD-AB49-0CC0164D8635}"/>
            </a:ext>
          </a:extLst>
        </xdr:cNvPr>
        <xdr:cNvSpPr/>
      </xdr:nvSpPr>
      <xdr:spPr>
        <a:xfrm rot="10800000">
          <a:off x="7945438" y="7302500"/>
          <a:ext cx="1699260" cy="982980"/>
        </a:xfrm>
        <a:prstGeom prst="striped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rthak Mukherjee" refreshedDate="46162.341720023149" createdVersion="8" refreshedVersion="8" minRefreshableVersion="3" recordCount="115" xr:uid="{1CE57DE4-938E-476B-A303-1CC7DDCCB46C}">
  <cacheSource type="worksheet">
    <worksheetSource name="Table1"/>
  </cacheSource>
  <cacheFields count="12">
    <cacheField name="Date" numFmtId="14">
      <sharedItems/>
    </cacheField>
    <cacheField name="Stock_Name" numFmtId="0">
      <sharedItems count="25">
        <s v="BAJFINANCE"/>
        <s v="NTPC"/>
        <s v="POWERGRID"/>
        <s v="INFY"/>
        <s v="BHARTIARTL"/>
        <s v="ITC"/>
        <s v="TCS"/>
        <s v="MARUTI"/>
        <s v="ULTRACEMCO"/>
        <s v="NESTLEIND"/>
        <s v="AXISBANK"/>
        <s v="ASIANPAINT"/>
        <s v="WIPRO"/>
        <s v="TITAN"/>
        <s v="HCLTECH"/>
        <s v="LT"/>
        <s v="CIPLA"/>
        <s v="SBIN"/>
        <s v="COALINDIA"/>
        <s v="HDFCBANK"/>
        <s v="TECHM"/>
        <s v="ICICIBANK"/>
        <s v="SUNPHARMA"/>
        <s v="RELIANCE"/>
        <s v="ADANIENT"/>
      </sharedItems>
    </cacheField>
    <cacheField name="Sector" numFmtId="0">
      <sharedItems count="14">
        <s v="Finance"/>
        <s v="Power"/>
        <s v="IT"/>
        <s v="Telecom"/>
        <s v="FMCG"/>
        <s v="Auto"/>
        <s v="Cement"/>
        <s v="Banking"/>
        <s v="Consumer Durables"/>
        <s v="Infrastructure"/>
        <s v="Pharma"/>
        <s v="Mining"/>
        <s v="Energy"/>
        <s v="Conglomerate"/>
      </sharedItems>
    </cacheField>
    <cacheField name="Buy_Price" numFmtId="0">
      <sharedItems containsSemiMixedTypes="0" containsString="0" containsNumber="1" minValue="132.08000000000001" maxValue="4899.96"/>
    </cacheField>
    <cacheField name="Quantity" numFmtId="0">
      <sharedItems containsSemiMixedTypes="0" containsString="0" containsNumber="1" containsInteger="1" minValue="1" maxValue="498"/>
    </cacheField>
    <cacheField name="Current_Price" numFmtId="0">
      <sharedItems containsSemiMixedTypes="0" containsString="0" containsNumber="1" minValue="158.57" maxValue="6125.36"/>
    </cacheField>
    <cacheField name="Investment_Value" numFmtId="0">
      <sharedItems containsSemiMixedTypes="0" containsString="0" containsNumber="1" minValue="2391.54" maxValue="2030120.3800000001"/>
    </cacheField>
    <cacheField name="Current_Value" numFmtId="0">
      <sharedItems containsSemiMixedTypes="0" containsString="0" containsNumber="1" minValue="3075.16" maxValue="2506277.3199999998"/>
    </cacheField>
    <cacheField name="Profit/Loss" numFmtId="0">
      <sharedItems containsSemiMixedTypes="0" containsString="0" containsNumber="1" minValue="-355004.15999999992" maxValue="1134260.55"/>
    </cacheField>
    <cacheField name="Return%" numFmtId="9">
      <sharedItems containsSemiMixedTypes="0" containsString="0" containsNumber="1" minValue="-0.24670993846413217" maxValue="18.468125378558447"/>
    </cacheField>
    <cacheField name="Broker" numFmtId="0">
      <sharedItems count="5">
        <s v="ICICI Direct"/>
        <s v="Groww"/>
        <s v="Upstox"/>
        <s v="Zerodha"/>
        <s v="Angel One"/>
      </sharedItems>
    </cacheField>
    <cacheField name="Portfolio_Type" numFmtId="0">
      <sharedItems count="3">
        <s v="Swing"/>
        <s v="Long Term"/>
        <s v="Intraday"/>
      </sharedItems>
    </cacheField>
  </cacheFields>
  <extLst>
    <ext xmlns:x14="http://schemas.microsoft.com/office/spreadsheetml/2009/9/main" uri="{725AE2AE-9491-48be-B2B4-4EB974FC3084}">
      <x14:pivotCacheDefinition pivotCacheId="19924704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5">
  <r>
    <s v="30-Jan-2025"/>
    <x v="0"/>
    <x v="0"/>
    <n v="4624.42"/>
    <n v="439"/>
    <n v="5097.4399999999996"/>
    <n v="2030120.3800000001"/>
    <n v="2237776.1599999997"/>
    <n v="207655.77999999956"/>
    <n v="0.10228742199021693"/>
    <x v="0"/>
    <x v="0"/>
  </r>
  <r>
    <s v="07-Apr-2025"/>
    <x v="1"/>
    <x v="1"/>
    <n v="4359.53"/>
    <n v="448"/>
    <n v="3567.11"/>
    <n v="1953069.44"/>
    <n v="1598065.28"/>
    <n v="-355004.15999999992"/>
    <n v="-0.18176730060350538"/>
    <x v="0"/>
    <x v="0"/>
  </r>
  <r>
    <s v="24-Jan-2025"/>
    <x v="2"/>
    <x v="1"/>
    <n v="3966.52"/>
    <n v="487"/>
    <n v="5146.3599999999997"/>
    <n v="1931695.24"/>
    <n v="2506277.3199999998"/>
    <n v="574582.07999999984"/>
    <n v="0.29744965360063724"/>
    <x v="0"/>
    <x v="0"/>
  </r>
  <r>
    <s v="30-Mar-2025"/>
    <x v="3"/>
    <x v="2"/>
    <n v="4479.96"/>
    <n v="426"/>
    <n v="4847.9799999999996"/>
    <n v="1908462.96"/>
    <n v="2065239.4799999997"/>
    <n v="156776.51999999979"/>
    <n v="8.2148054893347158E-2"/>
    <x v="1"/>
    <x v="0"/>
  </r>
  <r>
    <s v="20-Apr-2025"/>
    <x v="4"/>
    <x v="3"/>
    <n v="4379.1000000000004"/>
    <n v="426"/>
    <n v="5447.07"/>
    <n v="1865496.6"/>
    <n v="2320451.8199999998"/>
    <n v="454955.21999999974"/>
    <n v="0.24387887922175774"/>
    <x v="2"/>
    <x v="1"/>
  </r>
  <r>
    <s v="06-Apr-2025"/>
    <x v="5"/>
    <x v="4"/>
    <n v="4228.54"/>
    <n v="431"/>
    <n v="5491.95"/>
    <n v="1822500.74"/>
    <n v="2367030.4499999997"/>
    <n v="544529.70999999973"/>
    <n v="0.29878161256603919"/>
    <x v="2"/>
    <x v="0"/>
  </r>
  <r>
    <s v="03-Jan-2025"/>
    <x v="6"/>
    <x v="2"/>
    <n v="4043.71"/>
    <n v="423"/>
    <n v="3760.04"/>
    <n v="1710489.33"/>
    <n v="1590496.92"/>
    <n v="-119992.41000000015"/>
    <n v="-7.0150925758771118E-2"/>
    <x v="0"/>
    <x v="2"/>
  </r>
  <r>
    <s v="26-Mar-2025"/>
    <x v="6"/>
    <x v="2"/>
    <n v="3321.6"/>
    <n v="492"/>
    <n v="3258.56"/>
    <n v="1634227.2"/>
    <n v="1603211.52"/>
    <n v="-31015.679999999935"/>
    <n v="-1.8978805394990327E-2"/>
    <x v="0"/>
    <x v="2"/>
  </r>
  <r>
    <s v="13-Jan-2025"/>
    <x v="1"/>
    <x v="1"/>
    <n v="4566.34"/>
    <n v="346"/>
    <n v="5844.08"/>
    <n v="1579953.6400000001"/>
    <n v="2022051.68"/>
    <n v="442098.0399999998"/>
    <n v="0.27981709640543617"/>
    <x v="3"/>
    <x v="0"/>
  </r>
  <r>
    <s v="23-Feb-2025"/>
    <x v="7"/>
    <x v="5"/>
    <n v="4715.8100000000004"/>
    <n v="305"/>
    <n v="6125.36"/>
    <n v="1438322.05"/>
    <n v="1868234.7999999998"/>
    <n v="429912.74999999977"/>
    <n v="0.29889881059669476"/>
    <x v="3"/>
    <x v="1"/>
  </r>
  <r>
    <s v="04-Mar-2025"/>
    <x v="2"/>
    <x v="1"/>
    <n v="3232.11"/>
    <n v="442"/>
    <n v="3403.18"/>
    <n v="1428592.62"/>
    <n v="1504205.5599999998"/>
    <n v="75612.939999999711"/>
    <n v="5.2928272862000157E-2"/>
    <x v="1"/>
    <x v="0"/>
  </r>
  <r>
    <s v="24-Feb-2025"/>
    <x v="8"/>
    <x v="6"/>
    <n v="4899.96"/>
    <n v="290"/>
    <n v="5683.82"/>
    <n v="1420988.4"/>
    <n v="1648307.7999999998"/>
    <n v="227319.39999999991"/>
    <n v="0.15997273447130175"/>
    <x v="1"/>
    <x v="0"/>
  </r>
  <r>
    <s v="06-Mar-2025"/>
    <x v="9"/>
    <x v="4"/>
    <n v="2636.01"/>
    <n v="469"/>
    <n v="2967.4"/>
    <n v="1236288.6900000002"/>
    <n v="1391710.6"/>
    <n v="155421.90999999992"/>
    <n v="0.12571651852610566"/>
    <x v="0"/>
    <x v="0"/>
  </r>
  <r>
    <s v="21-Jan-2025"/>
    <x v="6"/>
    <x v="2"/>
    <n v="2480.25"/>
    <n v="494"/>
    <n v="2798.56"/>
    <n v="1225243.5"/>
    <n v="1382488.64"/>
    <n v="157245.1399999999"/>
    <n v="0.1283378691664146"/>
    <x v="4"/>
    <x v="0"/>
  </r>
  <r>
    <s v="31-Jan-2025"/>
    <x v="10"/>
    <x v="7"/>
    <n v="2584.04"/>
    <n v="471"/>
    <n v="3074.71"/>
    <n v="1217082.8400000001"/>
    <n v="1448188.41"/>
    <n v="231105.56999999983"/>
    <n v="0.18988483150415614"/>
    <x v="3"/>
    <x v="1"/>
  </r>
  <r>
    <s v="18-Jan-2025"/>
    <x v="11"/>
    <x v="8"/>
    <n v="2940.72"/>
    <n v="413"/>
    <n v="2663.28"/>
    <n v="1214517.3599999999"/>
    <n v="1099934.6400000001"/>
    <n v="-114582.71999999974"/>
    <n v="-9.4344242226393329E-2"/>
    <x v="4"/>
    <x v="2"/>
  </r>
  <r>
    <s v="28-Feb-2025"/>
    <x v="0"/>
    <x v="0"/>
    <n v="4891.4799999999996"/>
    <n v="242"/>
    <n v="5163.12"/>
    <n v="1183738.1599999999"/>
    <n v="1249475.04"/>
    <n v="65736.880000000121"/>
    <n v="5.5533294626575296E-2"/>
    <x v="2"/>
    <x v="1"/>
  </r>
  <r>
    <s v="28-Jan-2025"/>
    <x v="12"/>
    <x v="2"/>
    <n v="3529.45"/>
    <n v="331"/>
    <n v="3628.77"/>
    <n v="1168247.95"/>
    <n v="1201122.8699999999"/>
    <n v="32874.919999999925"/>
    <n v="2.8140361812746966E-2"/>
    <x v="2"/>
    <x v="0"/>
  </r>
  <r>
    <s v="30-Mar-2025"/>
    <x v="13"/>
    <x v="8"/>
    <n v="3514.24"/>
    <n v="322"/>
    <n v="3539.28"/>
    <n v="1131585.28"/>
    <n v="1139648.1600000001"/>
    <n v="8062.8800000001211"/>
    <n v="7.1252959388090672E-3"/>
    <x v="4"/>
    <x v="1"/>
  </r>
  <r>
    <s v="27-Mar-2025"/>
    <x v="14"/>
    <x v="2"/>
    <n v="2573.73"/>
    <n v="433"/>
    <n v="2175.7199999999998"/>
    <n v="1114425.0900000001"/>
    <n v="942086.75999999989"/>
    <n v="-172338.33000000019"/>
    <n v="-0.15464326094811826"/>
    <x v="1"/>
    <x v="1"/>
  </r>
  <r>
    <s v="02-Feb-2025"/>
    <x v="15"/>
    <x v="9"/>
    <n v="2607.8000000000002"/>
    <n v="426"/>
    <n v="2024.87"/>
    <n v="1110922.8"/>
    <n v="862594.62"/>
    <n v="-248328.18000000005"/>
    <n v="-0.22353324641460237"/>
    <x v="1"/>
    <x v="2"/>
  </r>
  <r>
    <s v="20-Jan-2025"/>
    <x v="13"/>
    <x v="8"/>
    <n v="3950.12"/>
    <n v="279"/>
    <n v="4861.3"/>
    <n v="1102083.48"/>
    <n v="1356302.7"/>
    <n v="254219.21999999997"/>
    <n v="0.23067147327169804"/>
    <x v="1"/>
    <x v="0"/>
  </r>
  <r>
    <s v="22-Apr-2025"/>
    <x v="1"/>
    <x v="1"/>
    <n v="4489.3500000000004"/>
    <n v="238"/>
    <n v="4862.67"/>
    <n v="1068465.3"/>
    <n v="1157315.46"/>
    <n v="88850.159999999916"/>
    <n v="8.3156804437167886E-2"/>
    <x v="3"/>
    <x v="1"/>
  </r>
  <r>
    <s v="05-Jan-2025"/>
    <x v="15"/>
    <x v="9"/>
    <n v="3002.51"/>
    <n v="349"/>
    <n v="3123.2"/>
    <n v="1047875.9900000001"/>
    <n v="1089996.8"/>
    <n v="42120.809999999939"/>
    <n v="4.019636903790489E-2"/>
    <x v="4"/>
    <x v="2"/>
  </r>
  <r>
    <s v="09-Apr-2025"/>
    <x v="10"/>
    <x v="7"/>
    <n v="2216.7600000000002"/>
    <n v="455"/>
    <n v="2076.37"/>
    <n v="1008625.8"/>
    <n v="944748.35"/>
    <n v="-63877.45000000007"/>
    <n v="-6.3331168010971037E-2"/>
    <x v="3"/>
    <x v="0"/>
  </r>
  <r>
    <s v="21-Apr-2025"/>
    <x v="2"/>
    <x v="1"/>
    <n v="3177.53"/>
    <n v="316"/>
    <n v="3478.21"/>
    <n v="1004099.4800000001"/>
    <n v="1099114.3600000001"/>
    <n v="95014.88"/>
    <n v="9.4626958675449166E-2"/>
    <x v="3"/>
    <x v="0"/>
  </r>
  <r>
    <s v="08-Jan-2025"/>
    <x v="8"/>
    <x v="6"/>
    <n v="3117.21"/>
    <n v="318"/>
    <n v="2734.14"/>
    <n v="991272.78"/>
    <n v="869456.5199999999"/>
    <n v="-121816.26000000013"/>
    <n v="-0.12288873704370266"/>
    <x v="1"/>
    <x v="2"/>
  </r>
  <r>
    <s v="15-Mar-2025"/>
    <x v="16"/>
    <x v="10"/>
    <n v="4814.6099999999997"/>
    <n v="201"/>
    <n v="3748.02"/>
    <n v="967736.61"/>
    <n v="753352.02"/>
    <n v="-214384.58999999997"/>
    <n v="-0.22153196209038736"/>
    <x v="3"/>
    <x v="0"/>
  </r>
  <r>
    <s v="28-Feb-2025"/>
    <x v="12"/>
    <x v="2"/>
    <n v="2966.38"/>
    <n v="326"/>
    <n v="2566.2199999999998"/>
    <n v="967039.88"/>
    <n v="836587.72"/>
    <n v="-130452.16000000003"/>
    <n v="-0.13489842838746219"/>
    <x v="4"/>
    <x v="0"/>
  </r>
  <r>
    <s v="29-Apr-2025"/>
    <x v="16"/>
    <x v="10"/>
    <n v="1937.08"/>
    <n v="481"/>
    <n v="2035.38"/>
    <n v="931735.48"/>
    <n v="979017.78"/>
    <n v="47282.300000000047"/>
    <n v="5.0746484399198842E-2"/>
    <x v="4"/>
    <x v="0"/>
  </r>
  <r>
    <s v="04-Apr-2025"/>
    <x v="17"/>
    <x v="7"/>
    <n v="2787.17"/>
    <n v="334"/>
    <n v="2316.41"/>
    <n v="930914.78"/>
    <n v="773680.94"/>
    <n v="-157233.84000000008"/>
    <n v="-0.16890250684385963"/>
    <x v="1"/>
    <x v="1"/>
  </r>
  <r>
    <s v="15-Jan-2025"/>
    <x v="7"/>
    <x v="5"/>
    <n v="2948.15"/>
    <n v="309"/>
    <n v="3296.69"/>
    <n v="910978.35"/>
    <n v="1018677.21"/>
    <n v="107698.85999999999"/>
    <n v="0.11822329257330867"/>
    <x v="3"/>
    <x v="2"/>
  </r>
  <r>
    <s v="03-Jan-2025"/>
    <x v="18"/>
    <x v="11"/>
    <n v="2017.16"/>
    <n v="449"/>
    <n v="2075"/>
    <n v="905704.84000000008"/>
    <n v="931675"/>
    <n v="25970.159999999916"/>
    <n v="2.8673977274980569E-2"/>
    <x v="2"/>
    <x v="2"/>
  </r>
  <r>
    <s v="14-Apr-2025"/>
    <x v="11"/>
    <x v="8"/>
    <n v="3587.59"/>
    <n v="245"/>
    <n v="4614.78"/>
    <n v="878959.55"/>
    <n v="1130621.0999999999"/>
    <n v="251661.54999999981"/>
    <n v="0.28631755579650942"/>
    <x v="0"/>
    <x v="2"/>
  </r>
  <r>
    <s v="25-Apr-2025"/>
    <x v="14"/>
    <x v="2"/>
    <n v="2482.52"/>
    <n v="334"/>
    <n v="3219.89"/>
    <n v="829161.68"/>
    <n v="1075443.26"/>
    <n v="246281.57999999996"/>
    <n v="0.29702479738330401"/>
    <x v="4"/>
    <x v="2"/>
  </r>
  <r>
    <s v="07-Mar-2025"/>
    <x v="17"/>
    <x v="7"/>
    <n v="1992.46"/>
    <n v="412"/>
    <n v="1790.52"/>
    <n v="820893.52"/>
    <n v="737694.24"/>
    <n v="-83199.280000000028"/>
    <n v="-0.10135209740722527"/>
    <x v="3"/>
    <x v="0"/>
  </r>
  <r>
    <s v="15-Mar-2025"/>
    <x v="17"/>
    <x v="7"/>
    <n v="3741.18"/>
    <n v="214"/>
    <n v="3348.83"/>
    <n v="800612.52"/>
    <n v="716649.62"/>
    <n v="-83962.900000000023"/>
    <n v="-0.10487332873585342"/>
    <x v="3"/>
    <x v="0"/>
  </r>
  <r>
    <s v="02-Feb-2025"/>
    <x v="17"/>
    <x v="7"/>
    <n v="2257.4699999999998"/>
    <n v="339"/>
    <n v="1854.2"/>
    <n v="765282.33"/>
    <n v="628573.80000000005"/>
    <n v="-136708.52999999991"/>
    <n v="-0.17863803284207533"/>
    <x v="1"/>
    <x v="1"/>
  </r>
  <r>
    <s v="07-Apr-2025"/>
    <x v="3"/>
    <x v="2"/>
    <n v="4774.72"/>
    <n v="158"/>
    <n v="5983.79"/>
    <n v="754405.76"/>
    <n v="945438.82"/>
    <n v="191033.05999999994"/>
    <n v="0.25322322565511685"/>
    <x v="1"/>
    <x v="1"/>
  </r>
  <r>
    <s v="17-Feb-2025"/>
    <x v="19"/>
    <x v="7"/>
    <n v="4243.6899999999996"/>
    <n v="176"/>
    <n v="4466.22"/>
    <n v="746889.44"/>
    <n v="786054.72000000009"/>
    <n v="39165.280000000144"/>
    <n v="5.2437854791467058E-2"/>
    <x v="1"/>
    <x v="0"/>
  </r>
  <r>
    <s v="08-Apr-2025"/>
    <x v="19"/>
    <x v="7"/>
    <n v="4106.91"/>
    <n v="179"/>
    <n v="5103.25"/>
    <n v="735136.89"/>
    <n v="913481.75"/>
    <n v="178344.86"/>
    <n v="0.24260088485016712"/>
    <x v="0"/>
    <x v="1"/>
  </r>
  <r>
    <s v="27-Mar-2025"/>
    <x v="18"/>
    <x v="11"/>
    <n v="1561.21"/>
    <n v="411"/>
    <n v="1496.92"/>
    <n v="641657.31000000006"/>
    <n v="615234.12"/>
    <n v="-26423.190000000061"/>
    <n v="-4.1179597876006523E-2"/>
    <x v="2"/>
    <x v="1"/>
  </r>
  <r>
    <s v="23-Feb-2025"/>
    <x v="1"/>
    <x v="1"/>
    <n v="1451.81"/>
    <n v="441"/>
    <n v="1458.3"/>
    <n v="640248.21"/>
    <n v="643110.29999999993"/>
    <n v="2862.0899999999674"/>
    <n v="4.4702819239431655E-3"/>
    <x v="1"/>
    <x v="2"/>
  </r>
  <r>
    <s v="26-Feb-2025"/>
    <x v="19"/>
    <x v="7"/>
    <n v="1672.7"/>
    <n v="382"/>
    <n v="1653.04"/>
    <n v="638971.4"/>
    <n v="631461.28"/>
    <n v="-7510.1199999999953"/>
    <n v="-1.1753452501942959E-2"/>
    <x v="3"/>
    <x v="1"/>
  </r>
  <r>
    <s v="11-Feb-2025"/>
    <x v="11"/>
    <x v="8"/>
    <n v="1577.27"/>
    <n v="396"/>
    <n v="1328.6"/>
    <n v="624598.92000000004"/>
    <n v="526125.6"/>
    <n v="-98473.320000000065"/>
    <n v="-0.15765848586481715"/>
    <x v="4"/>
    <x v="0"/>
  </r>
  <r>
    <s v="04-Mar-2025"/>
    <x v="16"/>
    <x v="10"/>
    <n v="2454.19"/>
    <n v="249"/>
    <n v="2950.96"/>
    <n v="611093.31000000006"/>
    <n v="734789.04"/>
    <n v="123695.72999999998"/>
    <n v="0.20241709077129313"/>
    <x v="1"/>
    <x v="2"/>
  </r>
  <r>
    <s v="28-Feb-2025"/>
    <x v="2"/>
    <x v="1"/>
    <n v="2545.1799999999998"/>
    <n v="234"/>
    <n v="3365.46"/>
    <n v="595572.12"/>
    <n v="787517.64"/>
    <n v="191945.52000000002"/>
    <n v="0.32228761816453061"/>
    <x v="1"/>
    <x v="0"/>
  </r>
  <r>
    <s v="16-Apr-2025"/>
    <x v="5"/>
    <x v="4"/>
    <n v="1276.01"/>
    <n v="437"/>
    <n v="1625.14"/>
    <n v="557616.37"/>
    <n v="710186.18"/>
    <n v="152569.81000000006"/>
    <n v="0.27361070838002849"/>
    <x v="3"/>
    <x v="1"/>
  </r>
  <r>
    <s v="08-Feb-2025"/>
    <x v="20"/>
    <x v="2"/>
    <n v="3840.01"/>
    <n v="143"/>
    <n v="3097.84"/>
    <n v="549121.43000000005"/>
    <n v="442991.12"/>
    <n v="-106130.31000000006"/>
    <n v="-0.1932729341850673"/>
    <x v="3"/>
    <x v="2"/>
  </r>
  <r>
    <s v="30-Jan-2025"/>
    <x v="11"/>
    <x v="8"/>
    <n v="2965.75"/>
    <n v="184"/>
    <n v="2234.0700000000002"/>
    <n v="545698"/>
    <n v="411068.88"/>
    <n v="-134629.12"/>
    <n v="-0.24670993846413217"/>
    <x v="4"/>
    <x v="1"/>
  </r>
  <r>
    <s v="14-Apr-2025"/>
    <x v="8"/>
    <x v="6"/>
    <n v="1580.38"/>
    <n v="332"/>
    <n v="1798.67"/>
    <n v="524686.16"/>
    <n v="597158.44000000006"/>
    <n v="72472.280000000028"/>
    <n v="0.13812500790949017"/>
    <x v="2"/>
    <x v="0"/>
  </r>
  <r>
    <s v="18-Feb-2025"/>
    <x v="11"/>
    <x v="8"/>
    <n v="1590.62"/>
    <n v="322"/>
    <n v="1316.37"/>
    <n v="512179.63999999996"/>
    <n v="423871.13999999996"/>
    <n v="-88308.5"/>
    <n v="-0.17241704492587798"/>
    <x v="1"/>
    <x v="0"/>
  </r>
  <r>
    <s v="29-Jan-2025"/>
    <x v="20"/>
    <x v="2"/>
    <n v="1662.52"/>
    <n v="307"/>
    <n v="2102.35"/>
    <n v="510393.64"/>
    <n v="645421.44999999995"/>
    <n v="135027.80999999994"/>
    <n v="0.26455621586507216"/>
    <x v="4"/>
    <x v="1"/>
  </r>
  <r>
    <s v="24-Feb-2025"/>
    <x v="0"/>
    <x v="0"/>
    <n v="2664.19"/>
    <n v="191"/>
    <n v="3367.9"/>
    <n v="508860.29000000004"/>
    <n v="643268.9"/>
    <n v="134408.60999999999"/>
    <n v="0.26413656683644932"/>
    <x v="0"/>
    <x v="2"/>
  </r>
  <r>
    <s v="22-Apr-2025"/>
    <x v="5"/>
    <x v="4"/>
    <n v="3537.54"/>
    <n v="143"/>
    <n v="3792.81"/>
    <n v="505868.22"/>
    <n v="542371.82999999996"/>
    <n v="36503.609999999986"/>
    <n v="7.2160314795027033E-2"/>
    <x v="4"/>
    <x v="1"/>
  </r>
  <r>
    <s v="17-Jan-2025"/>
    <x v="10"/>
    <x v="7"/>
    <n v="1954.38"/>
    <n v="250"/>
    <n v="1812.39"/>
    <n v="488595"/>
    <n v="453097.5"/>
    <n v="-35497.5"/>
    <n v="-7.2652196604549774E-2"/>
    <x v="1"/>
    <x v="0"/>
  </r>
  <r>
    <s v="29-Mar-2025"/>
    <x v="18"/>
    <x v="11"/>
    <n v="1558.32"/>
    <n v="300"/>
    <n v="1819.94"/>
    <n v="467496"/>
    <n v="545982"/>
    <n v="78486"/>
    <n v="0.16788592843575131"/>
    <x v="4"/>
    <x v="1"/>
  </r>
  <r>
    <s v="13-Jan-2025"/>
    <x v="16"/>
    <x v="10"/>
    <n v="4288.34"/>
    <n v="96"/>
    <n v="4755.01"/>
    <n v="411680.64"/>
    <n v="456480.96"/>
    <n v="44800.320000000007"/>
    <n v="0.10882299444540312"/>
    <x v="2"/>
    <x v="1"/>
  </r>
  <r>
    <s v="29-Apr-2025"/>
    <x v="20"/>
    <x v="2"/>
    <n v="2534.6"/>
    <n v="159"/>
    <n v="2070.87"/>
    <n v="403001.39999999997"/>
    <n v="329268.32999999996"/>
    <n v="-73733.070000000007"/>
    <n v="-0.18295983587153794"/>
    <x v="1"/>
    <x v="2"/>
  </r>
  <r>
    <s v="14-Mar-2025"/>
    <x v="11"/>
    <x v="8"/>
    <n v="1125.53"/>
    <n v="343"/>
    <n v="1441.16"/>
    <n v="386056.79"/>
    <n v="494317.88"/>
    <n v="108261.09000000003"/>
    <n v="0.28042788730642459"/>
    <x v="4"/>
    <x v="2"/>
  </r>
  <r>
    <s v="15-Apr-2025"/>
    <x v="20"/>
    <x v="2"/>
    <n v="4322.45"/>
    <n v="89"/>
    <n v="4856.83"/>
    <n v="384698.05"/>
    <n v="432257.87"/>
    <n v="47559.820000000007"/>
    <n v="0.12362896042753534"/>
    <x v="3"/>
    <x v="1"/>
  </r>
  <r>
    <s v="14-Apr-2025"/>
    <x v="21"/>
    <x v="7"/>
    <n v="2042.85"/>
    <n v="185"/>
    <n v="2019.25"/>
    <n v="377927.25"/>
    <n v="373561.25"/>
    <n v="-4366"/>
    <n v="-1.1552487945762049E-2"/>
    <x v="0"/>
    <x v="2"/>
  </r>
  <r>
    <s v="12-Jan-2025"/>
    <x v="17"/>
    <x v="7"/>
    <n v="1694.03"/>
    <n v="221"/>
    <n v="1852.39"/>
    <n v="374380.63"/>
    <n v="409378.19"/>
    <n v="34997.56"/>
    <n v="9.3481225243944907E-2"/>
    <x v="3"/>
    <x v="1"/>
  </r>
  <r>
    <s v="23-Apr-2025"/>
    <x v="17"/>
    <x v="7"/>
    <n v="1436.1"/>
    <n v="233"/>
    <n v="1470.97"/>
    <n v="334611.3"/>
    <n v="342736.01"/>
    <n v="8124.710000000021"/>
    <n v="2.4281038924866018E-2"/>
    <x v="3"/>
    <x v="0"/>
  </r>
  <r>
    <s v="28-Jan-2025"/>
    <x v="7"/>
    <x v="5"/>
    <n v="648.85"/>
    <n v="498"/>
    <n v="795.94"/>
    <n v="323127.3"/>
    <n v="396378.12000000005"/>
    <n v="73250.820000000065"/>
    <n v="0.22669338059644006"/>
    <x v="2"/>
    <x v="1"/>
  </r>
  <r>
    <s v="15-Jan-2025"/>
    <x v="22"/>
    <x v="10"/>
    <n v="1387.16"/>
    <n v="226"/>
    <n v="1069.28"/>
    <n v="313498.16000000003"/>
    <n v="241657.28"/>
    <n v="-71840.880000000034"/>
    <n v="-0.22915885694512539"/>
    <x v="3"/>
    <x v="2"/>
  </r>
  <r>
    <s v="07-Mar-2025"/>
    <x v="17"/>
    <x v="7"/>
    <n v="1117.98"/>
    <n v="277"/>
    <n v="963.57"/>
    <n v="309680.46000000002"/>
    <n v="266908.89"/>
    <n v="-42771.570000000007"/>
    <n v="-0.13811517200665488"/>
    <x v="3"/>
    <x v="0"/>
  </r>
  <r>
    <s v="18-Mar-2025"/>
    <x v="17"/>
    <x v="7"/>
    <n v="666.01"/>
    <n v="440"/>
    <n v="824.45"/>
    <n v="293044.40000000002"/>
    <n v="362758"/>
    <n v="69713.599999999977"/>
    <n v="0.23789432591102225"/>
    <x v="3"/>
    <x v="1"/>
  </r>
  <r>
    <s v="07-Feb-2025"/>
    <x v="19"/>
    <x v="7"/>
    <n v="1025.04"/>
    <n v="285"/>
    <n v="1180.95"/>
    <n v="292136.39999999997"/>
    <n v="336570.75"/>
    <n v="44434.350000000035"/>
    <n v="0.1521013814095061"/>
    <x v="1"/>
    <x v="0"/>
  </r>
  <r>
    <s v="07-Jan-2025"/>
    <x v="21"/>
    <x v="7"/>
    <n v="1862.81"/>
    <n v="151"/>
    <n v="1572.79"/>
    <n v="281284.31"/>
    <n v="237491.29"/>
    <n v="-43793.01999999999"/>
    <n v="-0.15568952281767864"/>
    <x v="2"/>
    <x v="2"/>
  </r>
  <r>
    <s v="17-Feb-2025"/>
    <x v="16"/>
    <x v="10"/>
    <n v="1094.24"/>
    <n v="256"/>
    <n v="1139.71"/>
    <n v="280125.44"/>
    <n v="291765.76000000001"/>
    <n v="11640.320000000007"/>
    <n v="4.1553955256616489E-2"/>
    <x v="3"/>
    <x v="0"/>
  </r>
  <r>
    <s v="26-Feb-2025"/>
    <x v="7"/>
    <x v="5"/>
    <n v="3455.37"/>
    <n v="77"/>
    <n v="3528.45"/>
    <n v="266063.49"/>
    <n v="271690.64999999997"/>
    <n v="5627.1599999999744"/>
    <n v="2.1149688745344109E-2"/>
    <x v="4"/>
    <x v="2"/>
  </r>
  <r>
    <s v="24-Feb-2025"/>
    <x v="22"/>
    <x v="10"/>
    <n v="1108.29"/>
    <n v="228"/>
    <n v="1464.72"/>
    <n v="252690.12"/>
    <n v="333956.16000000003"/>
    <n v="81266.040000000037"/>
    <n v="0.32160355141704805"/>
    <x v="0"/>
    <x v="0"/>
  </r>
  <r>
    <s v="28-Feb-2025"/>
    <x v="4"/>
    <x v="3"/>
    <n v="922.77"/>
    <n v="264"/>
    <n v="3121.1"/>
    <n v="243611.28"/>
    <n v="823970.4"/>
    <n v="580359.12"/>
    <n v="2.3823162868320384"/>
    <x v="3"/>
    <x v="0"/>
  </r>
  <r>
    <s v="02-Apr-2025"/>
    <x v="23"/>
    <x v="12"/>
    <n v="595.6"/>
    <n v="401"/>
    <n v="673.65"/>
    <n v="238835.6"/>
    <n v="270133.64999999997"/>
    <n v="31298.049999999959"/>
    <n v="0.1310443250503692"/>
    <x v="1"/>
    <x v="1"/>
  </r>
  <r>
    <s v="03-Mar-2025"/>
    <x v="7"/>
    <x v="5"/>
    <n v="3697.99"/>
    <n v="64"/>
    <n v="4287.63"/>
    <n v="236671.35999999999"/>
    <n v="274408.32000000001"/>
    <n v="37736.960000000021"/>
    <n v="0.15944878163542908"/>
    <x v="4"/>
    <x v="2"/>
  </r>
  <r>
    <s v="27-Apr-2025"/>
    <x v="15"/>
    <x v="9"/>
    <n v="2146.0100000000002"/>
    <n v="106"/>
    <n v="2695.02"/>
    <n v="227477.06000000003"/>
    <n v="285672.12"/>
    <n v="58195.059999999969"/>
    <n v="0.25582825802302861"/>
    <x v="0"/>
    <x v="1"/>
  </r>
  <r>
    <s v="15-Feb-2025"/>
    <x v="7"/>
    <x v="5"/>
    <n v="783.74"/>
    <n v="284"/>
    <n v="806.43"/>
    <n v="222582.16"/>
    <n v="229026.12"/>
    <n v="6443.9599999999919"/>
    <n v="2.8950927603541954E-2"/>
    <x v="0"/>
    <x v="2"/>
  </r>
  <r>
    <s v="01-May-2025"/>
    <x v="5"/>
    <x v="4"/>
    <n v="843.15"/>
    <n v="247"/>
    <n v="923.65"/>
    <n v="208258.05"/>
    <n v="228141.55"/>
    <n v="19883.5"/>
    <n v="9.5475300954753012E-2"/>
    <x v="0"/>
    <x v="2"/>
  </r>
  <r>
    <s v="21-Mar-2025"/>
    <x v="10"/>
    <x v="7"/>
    <n v="821.31"/>
    <n v="240"/>
    <n v="706.64"/>
    <n v="197114.4"/>
    <n v="169593.60000000001"/>
    <n v="-27520.799999999988"/>
    <n v="-0.13961841448417767"/>
    <x v="1"/>
    <x v="0"/>
  </r>
  <r>
    <s v="27-Mar-2025"/>
    <x v="4"/>
    <x v="3"/>
    <n v="510.1"/>
    <n v="380"/>
    <n v="456.58"/>
    <n v="193838"/>
    <n v="173500.4"/>
    <n v="-20337.600000000006"/>
    <n v="-0.10492060380317587"/>
    <x v="0"/>
    <x v="1"/>
  </r>
  <r>
    <s v="18-Jan-2025"/>
    <x v="4"/>
    <x v="3"/>
    <n v="3928.23"/>
    <n v="49"/>
    <n v="3765.32"/>
    <n v="192483.27"/>
    <n v="184500.68000000002"/>
    <n v="-7982.5899999999674"/>
    <n v="-4.147160425942456E-2"/>
    <x v="1"/>
    <x v="1"/>
  </r>
  <r>
    <s v="15-Apr-2025"/>
    <x v="24"/>
    <x v="13"/>
    <n v="405.13"/>
    <n v="474"/>
    <n v="328.04"/>
    <n v="192031.62"/>
    <n v="155490.96000000002"/>
    <n v="-36540.659999999974"/>
    <n v="-0.19028460000493655"/>
    <x v="0"/>
    <x v="0"/>
  </r>
  <r>
    <s v="18-Jan-2025"/>
    <x v="6"/>
    <x v="2"/>
    <n v="608.46"/>
    <n v="310"/>
    <n v="640.34"/>
    <n v="188622.6"/>
    <n v="198505.40000000002"/>
    <n v="9882.8000000000175"/>
    <n v="5.2394569897774801E-2"/>
    <x v="2"/>
    <x v="0"/>
  </r>
  <r>
    <s v="20-Jan-2025"/>
    <x v="18"/>
    <x v="11"/>
    <n v="1146.8900000000001"/>
    <n v="142"/>
    <n v="1166.5999999999999"/>
    <n v="162858.38"/>
    <n v="165657.19999999998"/>
    <n v="2798.8199999999779"/>
    <n v="1.7185606291797682E-2"/>
    <x v="4"/>
    <x v="0"/>
  </r>
  <r>
    <s v="03-Feb-2025"/>
    <x v="13"/>
    <x v="8"/>
    <n v="4413.92"/>
    <n v="36"/>
    <n v="4376.75"/>
    <n v="158901.12"/>
    <n v="157563"/>
    <n v="-1338.1199999999953"/>
    <n v="-8.4210860187769309E-3"/>
    <x v="4"/>
    <x v="0"/>
  </r>
  <r>
    <s v="18-Mar-2025"/>
    <x v="7"/>
    <x v="5"/>
    <n v="4562.46"/>
    <n v="33"/>
    <n v="3818.63"/>
    <n v="150561.18"/>
    <n v="126014.79000000001"/>
    <n v="-24546.389999999985"/>
    <n v="-0.16303266220416171"/>
    <x v="3"/>
    <x v="0"/>
  </r>
  <r>
    <s v="05-Mar-2025"/>
    <x v="13"/>
    <x v="8"/>
    <n v="392.39"/>
    <n v="370"/>
    <n v="299.19"/>
    <n v="145184.29999999999"/>
    <n v="110700.3"/>
    <n v="-34483.999999999985"/>
    <n v="-0.23751879507632703"/>
    <x v="2"/>
    <x v="1"/>
  </r>
  <r>
    <s v="16-Mar-2025"/>
    <x v="10"/>
    <x v="7"/>
    <n v="3236.09"/>
    <n v="43"/>
    <n v="3669.26"/>
    <n v="139151.87"/>
    <n v="157778.18000000002"/>
    <n v="18626.310000000027"/>
    <n v="0.13385598051970143"/>
    <x v="1"/>
    <x v="2"/>
  </r>
  <r>
    <s v="16-Apr-2025"/>
    <x v="10"/>
    <x v="7"/>
    <n v="938.22"/>
    <n v="144"/>
    <n v="805.78"/>
    <n v="135103.67999999999"/>
    <n v="116032.31999999999"/>
    <n v="-19071.36"/>
    <n v="-0.14116092174543285"/>
    <x v="3"/>
    <x v="1"/>
  </r>
  <r>
    <s v="12-Mar-2025"/>
    <x v="15"/>
    <x v="9"/>
    <n v="762.37"/>
    <n v="171"/>
    <n v="846.13"/>
    <n v="130365.27"/>
    <n v="144688.23000000001"/>
    <n v="14322.960000000006"/>
    <n v="0.10986791190629226"/>
    <x v="0"/>
    <x v="1"/>
  </r>
  <r>
    <s v="15-Mar-2025"/>
    <x v="19"/>
    <x v="7"/>
    <n v="249.78"/>
    <n v="464"/>
    <n v="221.68"/>
    <n v="115897.92"/>
    <n v="102859.52"/>
    <n v="-13038.399999999994"/>
    <n v="-0.11249899911922487"/>
    <x v="2"/>
    <x v="2"/>
  </r>
  <r>
    <s v="16-Apr-2025"/>
    <x v="13"/>
    <x v="8"/>
    <n v="445.6"/>
    <n v="253"/>
    <n v="470.55"/>
    <n v="112736.8"/>
    <n v="119049.15000000001"/>
    <n v="6312.3500000000058"/>
    <n v="5.5991921005386046E-2"/>
    <x v="1"/>
    <x v="1"/>
  </r>
  <r>
    <s v="24-Feb-2025"/>
    <x v="2"/>
    <x v="1"/>
    <n v="4212.8100000000004"/>
    <n v="26"/>
    <n v="3875.06"/>
    <n v="109533.06000000001"/>
    <n v="100751.56"/>
    <n v="-8781.5000000000146"/>
    <n v="-8.0172141634681018E-2"/>
    <x v="2"/>
    <x v="2"/>
  </r>
  <r>
    <s v="26-Feb-2025"/>
    <x v="9"/>
    <x v="4"/>
    <n v="1799.93"/>
    <n v="49"/>
    <n v="2319.13"/>
    <n v="88196.57"/>
    <n v="113637.37000000001"/>
    <n v="25440.800000000003"/>
    <n v="0.28845566216463975"/>
    <x v="0"/>
    <x v="2"/>
  </r>
  <r>
    <s v="25-Feb-2025"/>
    <x v="9"/>
    <x v="4"/>
    <n v="1793.02"/>
    <n v="44"/>
    <n v="1454.95"/>
    <n v="78892.88"/>
    <n v="64017.8"/>
    <n v="-14875.080000000002"/>
    <n v="-0.18854781318669062"/>
    <x v="1"/>
    <x v="1"/>
  </r>
  <r>
    <s v="26-Apr-2025"/>
    <x v="7"/>
    <x v="5"/>
    <n v="1896.08"/>
    <n v="38"/>
    <n v="2112.91"/>
    <n v="72051.039999999994"/>
    <n v="80290.579999999987"/>
    <n v="8239.5399999999936"/>
    <n v="0.11435698915657559"/>
    <x v="1"/>
    <x v="0"/>
  </r>
  <r>
    <s v="09-Feb-2025"/>
    <x v="12"/>
    <x v="2"/>
    <n v="852.2"/>
    <n v="81"/>
    <n v="830.89"/>
    <n v="69028.2"/>
    <n v="67302.09"/>
    <n v="-1726.1100000000006"/>
    <n v="-2.5005867167331622E-2"/>
    <x v="1"/>
    <x v="1"/>
  </r>
  <r>
    <s v="03-Apr-2025"/>
    <x v="2"/>
    <x v="1"/>
    <n v="271.93"/>
    <n v="241"/>
    <n v="205.96"/>
    <n v="65535.130000000005"/>
    <n v="49636.36"/>
    <n v="-15898.770000000004"/>
    <n v="-0.2425991983230979"/>
    <x v="3"/>
    <x v="2"/>
  </r>
  <r>
    <s v="02-Apr-2025"/>
    <x v="5"/>
    <x v="4"/>
    <n v="132.08000000000001"/>
    <n v="465"/>
    <n v="2571.35"/>
    <n v="61417.200000000004"/>
    <n v="1195677.75"/>
    <n v="1134260.55"/>
    <n v="18.468125378558447"/>
    <x v="2"/>
    <x v="2"/>
  </r>
  <r>
    <s v="19-Jan-2025"/>
    <x v="3"/>
    <x v="2"/>
    <n v="377.56"/>
    <n v="148"/>
    <n v="505.79"/>
    <n v="55878.879999999997"/>
    <n v="74856.92"/>
    <n v="18978.04"/>
    <n v="0.33962813857400154"/>
    <x v="1"/>
    <x v="2"/>
  </r>
  <r>
    <s v="12-Feb-2025"/>
    <x v="8"/>
    <x v="6"/>
    <n v="2189"/>
    <n v="24"/>
    <n v="1836.17"/>
    <n v="52536"/>
    <n v="44068.08"/>
    <n v="-8467.9199999999983"/>
    <n v="-0.16118318867062581"/>
    <x v="2"/>
    <x v="2"/>
  </r>
  <r>
    <s v="21-Mar-2025"/>
    <x v="5"/>
    <x v="4"/>
    <n v="1223.8599999999999"/>
    <n v="40"/>
    <n v="1615.72"/>
    <n v="48954.399999999994"/>
    <n v="64628.800000000003"/>
    <n v="15674.400000000009"/>
    <n v="0.3201836811399999"/>
    <x v="3"/>
    <x v="0"/>
  </r>
  <r>
    <s v="24-Jan-2025"/>
    <x v="22"/>
    <x v="10"/>
    <n v="419.68"/>
    <n v="115"/>
    <n v="494.45"/>
    <n v="48263.200000000004"/>
    <n v="56861.75"/>
    <n v="8598.5499999999956"/>
    <n v="0.1781595501334349"/>
    <x v="3"/>
    <x v="0"/>
  </r>
  <r>
    <s v="01-Jan-2025"/>
    <x v="11"/>
    <x v="8"/>
    <n v="416.83"/>
    <n v="113"/>
    <n v="851.11"/>
    <n v="47101.79"/>
    <n v="96175.430000000008"/>
    <n v="49073.640000000007"/>
    <n v="1.0418635894729267"/>
    <x v="4"/>
    <x v="0"/>
  </r>
  <r>
    <s v="18-Apr-2025"/>
    <x v="24"/>
    <x v="13"/>
    <n v="3283.93"/>
    <n v="12"/>
    <n v="3569.4"/>
    <n v="39407.159999999996"/>
    <n v="42832.800000000003"/>
    <n v="3425.6400000000067"/>
    <n v="8.6929380346109864E-2"/>
    <x v="1"/>
    <x v="1"/>
  </r>
  <r>
    <s v="18-Feb-2025"/>
    <x v="0"/>
    <x v="0"/>
    <n v="1100.74"/>
    <n v="35"/>
    <n v="1118.04"/>
    <n v="38525.9"/>
    <n v="39131.4"/>
    <n v="605.5"/>
    <n v="1.5716699674764249E-2"/>
    <x v="2"/>
    <x v="1"/>
  </r>
  <r>
    <s v="20-Mar-2025"/>
    <x v="18"/>
    <x v="11"/>
    <n v="456.79"/>
    <n v="63"/>
    <n v="560.19000000000005"/>
    <n v="28777.77"/>
    <n v="35291.97"/>
    <n v="6514.2000000000007"/>
    <n v="0.22636222334114148"/>
    <x v="2"/>
    <x v="2"/>
  </r>
  <r>
    <s v="28-Feb-2025"/>
    <x v="6"/>
    <x v="2"/>
    <n v="3584.88"/>
    <n v="6"/>
    <n v="4831.21"/>
    <n v="21509.279999999999"/>
    <n v="28987.260000000002"/>
    <n v="7477.9800000000032"/>
    <n v="0.34766296221909815"/>
    <x v="4"/>
    <x v="2"/>
  </r>
  <r>
    <s v="24-Mar-2025"/>
    <x v="21"/>
    <x v="7"/>
    <n v="1241.8900000000001"/>
    <n v="5"/>
    <n v="978.52"/>
    <n v="6209.4500000000007"/>
    <n v="4892.6000000000004"/>
    <n v="-1316.8500000000004"/>
    <n v="-0.21207192263404975"/>
    <x v="2"/>
    <x v="0"/>
  </r>
  <r>
    <s v="28-Apr-2025"/>
    <x v="10"/>
    <x v="7"/>
    <n v="160.03"/>
    <n v="35"/>
    <n v="158.57"/>
    <n v="5601.05"/>
    <n v="5549.95"/>
    <n v="-51.100000000000364"/>
    <n v="-9.1232893832407062E-3"/>
    <x v="2"/>
    <x v="2"/>
  </r>
  <r>
    <s v="15-Feb-2025"/>
    <x v="21"/>
    <x v="7"/>
    <n v="239.01"/>
    <n v="22"/>
    <n v="304.08999999999997"/>
    <n v="5258.2199999999993"/>
    <n v="6689.98"/>
    <n v="1431.7600000000002"/>
    <n v="0.27228986234885577"/>
    <x v="2"/>
    <x v="2"/>
  </r>
  <r>
    <s v="13-Mar-2025"/>
    <x v="6"/>
    <x v="2"/>
    <n v="381.29"/>
    <n v="12"/>
    <n v="395.61"/>
    <n v="4575.4800000000005"/>
    <n v="4747.32"/>
    <n v="171.83999999999924"/>
    <n v="3.7556715361011135E-2"/>
    <x v="3"/>
    <x v="1"/>
  </r>
  <r>
    <s v="22-Mar-2025"/>
    <x v="1"/>
    <x v="1"/>
    <n v="4042.9"/>
    <n v="1"/>
    <n v="3877.85"/>
    <n v="4042.9"/>
    <n v="3877.85"/>
    <n v="-165.05000000000018"/>
    <n v="-4.0824655569022282E-2"/>
    <x v="0"/>
    <x v="2"/>
  </r>
  <r>
    <s v="28-Apr-2025"/>
    <x v="1"/>
    <x v="1"/>
    <n v="1195.77"/>
    <n v="2"/>
    <n v="1537.58"/>
    <n v="2391.54"/>
    <n v="3075.16"/>
    <n v="683.61999999999989"/>
    <n v="0.2858492853976935"/>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0FB78-5688-4595-9722-3A69E3A8E643}"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J3:L29" firstHeaderRow="0" firstDataRow="1" firstDataCol="1"/>
  <pivotFields count="12">
    <pivotField showAll="0"/>
    <pivotField axis="axisRow" showAll="0">
      <items count="26">
        <item x="24"/>
        <item x="11"/>
        <item x="10"/>
        <item x="0"/>
        <item x="4"/>
        <item x="16"/>
        <item x="18"/>
        <item x="14"/>
        <item x="19"/>
        <item x="21"/>
        <item x="3"/>
        <item x="5"/>
        <item x="15"/>
        <item x="7"/>
        <item x="9"/>
        <item x="1"/>
        <item x="2"/>
        <item x="23"/>
        <item x="17"/>
        <item x="22"/>
        <item x="6"/>
        <item x="20"/>
        <item x="13"/>
        <item x="8"/>
        <item x="12"/>
        <item t="default"/>
      </items>
    </pivotField>
    <pivotField showAll="0"/>
    <pivotField showAll="0"/>
    <pivotField showAll="0"/>
    <pivotField showAll="0"/>
    <pivotField dataField="1" showAll="0"/>
    <pivotField dataField="1" showAll="0"/>
    <pivotField showAll="0"/>
    <pivotField numFmtId="9" showAll="0"/>
    <pivotField showAll="0">
      <items count="6">
        <item x="4"/>
        <item x="1"/>
        <item x="0"/>
        <item x="2"/>
        <item x="3"/>
        <item t="default"/>
      </items>
    </pivotField>
    <pivotField showAll="0">
      <items count="4">
        <item x="2"/>
        <item x="1"/>
        <item x="0"/>
        <item t="default"/>
      </items>
    </pivotField>
  </pivotFields>
  <rowFields count="1">
    <field x="1"/>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2">
    <i>
      <x/>
    </i>
    <i i="1">
      <x v="1"/>
    </i>
  </colItems>
  <dataFields count="2">
    <dataField name="Sum of Investment_Value" fld="6" baseField="0" baseItem="0"/>
    <dataField name="Sum of Current_Value" fld="7" baseField="0" baseItem="0"/>
  </dataFields>
  <formats count="24">
    <format dxfId="104">
      <pivotArea type="all" dataOnly="0" outline="0" fieldPosition="0"/>
    </format>
    <format dxfId="103">
      <pivotArea outline="0" collapsedLevelsAreSubtotals="1" fieldPosition="0"/>
    </format>
    <format dxfId="102">
      <pivotArea field="1" type="button" dataOnly="0" labelOnly="1" outline="0" axis="axisRow"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fieldPosition="0">
        <references count="1">
          <reference field="4294967294" count="2">
            <x v="0"/>
            <x v="1"/>
          </reference>
        </references>
      </pivotArea>
    </format>
    <format dxfId="80">
      <pivotArea type="all" dataOnly="0" outline="0" fieldPosition="0"/>
    </format>
    <format dxfId="79">
      <pivotArea outline="0" collapsedLevelsAreSubtotals="1" fieldPosition="0"/>
    </format>
    <format dxfId="78">
      <pivotArea field="1" type="button" dataOnly="0" labelOnly="1" outline="0" axis="axisRow" fieldPosition="0"/>
    </format>
    <format dxfId="77">
      <pivotArea dataOnly="0" labelOnly="1" fieldPosition="0">
        <references count="1">
          <reference field="1" count="0"/>
        </references>
      </pivotArea>
    </format>
    <format dxfId="76">
      <pivotArea dataOnly="0" labelOnly="1" grandRow="1" outline="0" fieldPosition="0"/>
    </format>
    <format dxfId="75">
      <pivotArea dataOnly="0" labelOnly="1" outline="0" fieldPosition="0">
        <references count="1">
          <reference field="4294967294" count="2">
            <x v="0"/>
            <x v="1"/>
          </reference>
        </references>
      </pivotArea>
    </format>
    <format dxfId="56">
      <pivotArea type="all" dataOnly="0" outline="0" fieldPosition="0"/>
    </format>
    <format dxfId="55">
      <pivotArea outline="0" collapsedLevelsAreSubtotals="1" fieldPosition="0"/>
    </format>
    <format dxfId="54">
      <pivotArea field="1" type="button" dataOnly="0" labelOnly="1" outline="0" axis="axisRow" fieldPosition="0"/>
    </format>
    <format dxfId="53">
      <pivotArea dataOnly="0" labelOnly="1" fieldPosition="0">
        <references count="1">
          <reference field="1" count="0"/>
        </references>
      </pivotArea>
    </format>
    <format dxfId="52">
      <pivotArea dataOnly="0" labelOnly="1" grandRow="1" outline="0" fieldPosition="0"/>
    </format>
    <format dxfId="51">
      <pivotArea dataOnly="0" labelOnly="1" outline="0" fieldPosition="0">
        <references count="1">
          <reference field="4294967294" count="2">
            <x v="0"/>
            <x v="1"/>
          </reference>
        </references>
      </pivotArea>
    </format>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0"/>
        </references>
      </pivotArea>
    </format>
    <format dxfId="46">
      <pivotArea dataOnly="0" labelOnly="1" grandRow="1" outline="0" fieldPosition="0"/>
    </format>
    <format dxfId="45">
      <pivotArea dataOnly="0" labelOnly="1" outline="0" fieldPosition="0">
        <references count="1">
          <reference field="4294967294" count="2">
            <x v="0"/>
            <x v="1"/>
          </reference>
        </references>
      </pivotArea>
    </format>
  </formats>
  <chartFormats count="2">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A58B60-BC60-490A-88BE-02B230BD36FB}"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G3:H29" firstHeaderRow="1" firstDataRow="1" firstDataCol="1"/>
  <pivotFields count="12">
    <pivotField showAll="0"/>
    <pivotField axis="axisRow" showAll="0">
      <items count="26">
        <item x="24"/>
        <item x="11"/>
        <item x="10"/>
        <item x="0"/>
        <item x="4"/>
        <item x="16"/>
        <item x="18"/>
        <item x="14"/>
        <item x="19"/>
        <item x="21"/>
        <item x="3"/>
        <item x="5"/>
        <item x="15"/>
        <item x="7"/>
        <item x="9"/>
        <item x="1"/>
        <item x="2"/>
        <item x="23"/>
        <item x="17"/>
        <item x="22"/>
        <item x="6"/>
        <item x="20"/>
        <item x="13"/>
        <item x="8"/>
        <item x="12"/>
        <item t="default"/>
      </items>
    </pivotField>
    <pivotField showAll="0">
      <items count="15">
        <item x="5"/>
        <item x="7"/>
        <item x="6"/>
        <item x="13"/>
        <item x="8"/>
        <item x="12"/>
        <item x="0"/>
        <item x="4"/>
        <item x="9"/>
        <item x="2"/>
        <item x="11"/>
        <item x="10"/>
        <item x="1"/>
        <item x="3"/>
        <item t="default"/>
      </items>
    </pivotField>
    <pivotField showAll="0"/>
    <pivotField showAll="0"/>
    <pivotField showAll="0"/>
    <pivotField showAll="0"/>
    <pivotField showAll="0"/>
    <pivotField dataField="1" showAll="0"/>
    <pivotField numFmtId="9" showAll="0"/>
    <pivotField showAll="0">
      <items count="6">
        <item x="4"/>
        <item x="1"/>
        <item x="0"/>
        <item x="2"/>
        <item x="3"/>
        <item t="default"/>
      </items>
    </pivotField>
    <pivotField showAll="0">
      <items count="4">
        <item x="2"/>
        <item x="1"/>
        <item x="0"/>
        <item t="default"/>
      </items>
    </pivotField>
  </pivotFields>
  <rowFields count="1">
    <field x="1"/>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Sum of Profit/Loss" fld="8" baseField="0" baseItem="0"/>
  </dataFields>
  <formats count="30">
    <format dxfId="98">
      <pivotArea type="all" dataOnly="0" outline="0" fieldPosition="0"/>
    </format>
    <format dxfId="97">
      <pivotArea outline="0" collapsedLevelsAreSubtotals="1" fieldPosition="0"/>
    </format>
    <format dxfId="96">
      <pivotArea field="1" type="button" dataOnly="0" labelOnly="1" outline="0" axis="axisRow" fieldPosition="0"/>
    </format>
    <format dxfId="95">
      <pivotArea dataOnly="0" labelOnly="1" fieldPosition="0">
        <references count="1">
          <reference field="1" count="0"/>
        </references>
      </pivotArea>
    </format>
    <format dxfId="94">
      <pivotArea dataOnly="0" labelOnly="1" grandRow="1" outline="0" fieldPosition="0"/>
    </format>
    <format dxfId="93">
      <pivotArea dataOnly="0" labelOnly="1" outline="0" axis="axisValues" fieldPosition="0"/>
    </format>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fieldPosition="0">
        <references count="1">
          <reference field="1" count="0"/>
        </references>
      </pivotArea>
    </format>
    <format dxfId="70">
      <pivotArea dataOnly="0" labelOnly="1" grandRow="1" outline="0" fieldPosition="0"/>
    </format>
    <format dxfId="69">
      <pivotArea dataOnly="0" labelOnly="1" outline="0" axis="axisValues" fieldPosition="0"/>
    </format>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0"/>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1" type="button" dataOnly="0" labelOnly="1" outline="0" axis="axisRow" fieldPosition="0"/>
    </format>
    <format dxfId="35">
      <pivotArea dataOnly="0" labelOnly="1" fieldPosition="0">
        <references count="1">
          <reference field="1" count="0"/>
        </references>
      </pivotArea>
    </format>
    <format dxfId="34">
      <pivotArea dataOnly="0" labelOnly="1" grandRow="1" outline="0" fieldPosition="0"/>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field="1" type="button" dataOnly="0" labelOnly="1" outline="0" axis="axisRow" fieldPosition="0"/>
    </format>
    <format dxfId="29">
      <pivotArea dataOnly="0" labelOnly="1" fieldPosition="0">
        <references count="1">
          <reference field="1" count="0"/>
        </references>
      </pivotArea>
    </format>
    <format dxfId="28">
      <pivotArea dataOnly="0" labelOnly="1" grandRow="1" outline="0" fieldPosition="0"/>
    </format>
    <format dxfId="27">
      <pivotArea dataOnly="0" labelOnly="1" outline="0" axis="axisValues" fieldPosition="0"/>
    </format>
  </formats>
  <chartFormats count="1">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EADD725-5319-4348-98E2-1FACAC641964}" name="PivotTable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D3:E9" firstHeaderRow="1" firstDataRow="1" firstDataCol="1"/>
  <pivotFields count="12">
    <pivotField showAll="0"/>
    <pivotField showAll="0"/>
    <pivotField showAll="0">
      <items count="15">
        <item x="5"/>
        <item x="7"/>
        <item x="6"/>
        <item x="13"/>
        <item x="8"/>
        <item x="12"/>
        <item x="0"/>
        <item x="4"/>
        <item x="9"/>
        <item x="2"/>
        <item x="11"/>
        <item x="10"/>
        <item x="1"/>
        <item x="3"/>
        <item t="default"/>
      </items>
    </pivotField>
    <pivotField showAll="0"/>
    <pivotField showAll="0"/>
    <pivotField showAll="0"/>
    <pivotField showAll="0"/>
    <pivotField showAll="0"/>
    <pivotField showAll="0"/>
    <pivotField numFmtId="9" showAll="0"/>
    <pivotField axis="axisRow" showAll="0">
      <items count="6">
        <item x="4"/>
        <item x="1"/>
        <item x="0"/>
        <item x="2"/>
        <item x="3"/>
        <item t="default"/>
      </items>
    </pivotField>
    <pivotField dataField="1" showAll="0">
      <items count="4">
        <item x="2"/>
        <item x="1"/>
        <item x="0"/>
        <item t="default"/>
      </items>
    </pivotField>
  </pivotFields>
  <rowFields count="1">
    <field x="10"/>
  </rowFields>
  <rowItems count="6">
    <i>
      <x/>
    </i>
    <i>
      <x v="1"/>
    </i>
    <i>
      <x v="2"/>
    </i>
    <i>
      <x v="3"/>
    </i>
    <i>
      <x v="4"/>
    </i>
    <i t="grand">
      <x/>
    </i>
  </rowItems>
  <colItems count="1">
    <i/>
  </colItems>
  <dataFields count="1">
    <dataField name="Count of Portfolio_Type" fld="11" subtotal="count" baseField="0" baseItem="0"/>
  </dataFields>
  <formats count="24">
    <format dxfId="92">
      <pivotArea type="all" dataOnly="0" outline="0" fieldPosition="0"/>
    </format>
    <format dxfId="91">
      <pivotArea outline="0" collapsedLevelsAreSubtotals="1" fieldPosition="0"/>
    </format>
    <format dxfId="90">
      <pivotArea field="10" type="button" dataOnly="0" labelOnly="1" outline="0" axis="axisRow" fieldPosition="0"/>
    </format>
    <format dxfId="89">
      <pivotArea dataOnly="0" labelOnly="1" fieldPosition="0">
        <references count="1">
          <reference field="10" count="0"/>
        </references>
      </pivotArea>
    </format>
    <format dxfId="88">
      <pivotArea dataOnly="0" labelOnly="1" grandRow="1" outline="0" fieldPosition="0"/>
    </format>
    <format dxfId="87">
      <pivotArea dataOnly="0" labelOnly="1" outline="0" axis="axisValues" fieldPosition="0"/>
    </format>
    <format dxfId="68">
      <pivotArea type="all" dataOnly="0" outline="0" fieldPosition="0"/>
    </format>
    <format dxfId="67">
      <pivotArea outline="0" collapsedLevelsAreSubtotals="1" fieldPosition="0"/>
    </format>
    <format dxfId="66">
      <pivotArea field="10" type="button" dataOnly="0" labelOnly="1" outline="0" axis="axisRow" fieldPosition="0"/>
    </format>
    <format dxfId="65">
      <pivotArea dataOnly="0" labelOnly="1" fieldPosition="0">
        <references count="1">
          <reference field="10" count="0"/>
        </references>
      </pivotArea>
    </format>
    <format dxfId="64">
      <pivotArea dataOnly="0" labelOnly="1" grandRow="1" outline="0" fieldPosition="0"/>
    </format>
    <format dxfId="63">
      <pivotArea dataOnly="0" labelOnly="1" outline="0" axis="axisValues" fieldPosition="0"/>
    </format>
    <format dxfId="26">
      <pivotArea type="all" dataOnly="0" outline="0" fieldPosition="0"/>
    </format>
    <format dxfId="25">
      <pivotArea outline="0" collapsedLevelsAreSubtotals="1" fieldPosition="0"/>
    </format>
    <format dxfId="24">
      <pivotArea field="10" type="button" dataOnly="0" labelOnly="1" outline="0" axis="axisRow" fieldPosition="0"/>
    </format>
    <format dxfId="23">
      <pivotArea dataOnly="0" labelOnly="1" fieldPosition="0">
        <references count="1">
          <reference field="10" count="0"/>
        </references>
      </pivotArea>
    </format>
    <format dxfId="22">
      <pivotArea dataOnly="0" labelOnly="1" grandRow="1" outline="0" fieldPosition="0"/>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field="10" type="button" dataOnly="0" labelOnly="1" outline="0" axis="axisRow" fieldPosition="0"/>
    </format>
    <format dxfId="17">
      <pivotArea dataOnly="0" labelOnly="1" fieldPosition="0">
        <references count="1">
          <reference field="10" count="0"/>
        </references>
      </pivotArea>
    </format>
    <format dxfId="16">
      <pivotArea dataOnly="0" labelOnly="1" grandRow="1" outline="0" fieldPosition="0"/>
    </format>
    <format dxfId="15">
      <pivotArea dataOnly="0" labelOnly="1" outline="0" axis="axisValues"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A65309-B473-472F-BB50-ED1D1E6CE946}" name="PivotTable4"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29" firstHeaderRow="1" firstDataRow="1" firstDataCol="1"/>
  <pivotFields count="12">
    <pivotField showAll="0"/>
    <pivotField axis="axisRow" showAll="0">
      <items count="26">
        <item x="24"/>
        <item x="11"/>
        <item x="10"/>
        <item x="0"/>
        <item x="4"/>
        <item x="16"/>
        <item x="18"/>
        <item x="14"/>
        <item x="19"/>
        <item x="21"/>
        <item x="3"/>
        <item x="5"/>
        <item x="15"/>
        <item x="7"/>
        <item x="9"/>
        <item x="1"/>
        <item x="2"/>
        <item x="23"/>
        <item x="17"/>
        <item x="22"/>
        <item x="6"/>
        <item x="20"/>
        <item x="13"/>
        <item x="8"/>
        <item x="12"/>
        <item t="default"/>
      </items>
    </pivotField>
    <pivotField showAll="0">
      <items count="15">
        <item x="5"/>
        <item x="7"/>
        <item x="6"/>
        <item x="13"/>
        <item x="8"/>
        <item x="12"/>
        <item x="0"/>
        <item x="4"/>
        <item x="9"/>
        <item x="2"/>
        <item x="11"/>
        <item x="10"/>
        <item x="1"/>
        <item x="3"/>
        <item t="default"/>
      </items>
    </pivotField>
    <pivotField showAll="0"/>
    <pivotField showAll="0"/>
    <pivotField showAll="0"/>
    <pivotField dataField="1" showAll="0"/>
    <pivotField showAll="0"/>
    <pivotField showAll="0"/>
    <pivotField numFmtId="9" showAll="0"/>
    <pivotField showAll="0"/>
    <pivotField showAll="0"/>
  </pivotFields>
  <rowFields count="1">
    <field x="1"/>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Sum of Investment_Value" fld="6" baseField="0" baseItem="0"/>
  </dataFields>
  <formats count="24">
    <format dxfId="86">
      <pivotArea type="all" dataOnly="0" outline="0" fieldPosition="0"/>
    </format>
    <format dxfId="85">
      <pivotArea outline="0" collapsedLevelsAreSubtotals="1" fieldPosition="0"/>
    </format>
    <format dxfId="84">
      <pivotArea field="1" type="button" dataOnly="0" labelOnly="1" outline="0" axis="axisRow" fieldPosition="0"/>
    </format>
    <format dxfId="83">
      <pivotArea dataOnly="0" labelOnly="1" fieldPosition="0">
        <references count="1">
          <reference field="1" count="0"/>
        </references>
      </pivotArea>
    </format>
    <format dxfId="82">
      <pivotArea dataOnly="0" labelOnly="1" grandRow="1" outline="0" fieldPosition="0"/>
    </format>
    <format dxfId="81">
      <pivotArea dataOnly="0" labelOnly="1" outline="0" axis="axisValues" fieldPosition="0"/>
    </format>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0"/>
        </references>
      </pivotArea>
    </format>
    <format dxfId="58">
      <pivotArea dataOnly="0" labelOnly="1" grandRow="1" outline="0" fieldPosition="0"/>
    </format>
    <format dxfId="57">
      <pivotArea dataOnly="0" labelOnly="1" outline="0" axis="axisValues" fieldPosition="0"/>
    </format>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0"/>
        </references>
      </pivotArea>
    </format>
    <format dxfId="10">
      <pivotArea dataOnly="0" labelOnly="1" grandRow="1" outline="0" fieldPosition="0"/>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field="1" type="button" dataOnly="0" labelOnly="1" outline="0" axis="axisRow" fieldPosition="0"/>
    </format>
    <format dxfId="5">
      <pivotArea dataOnly="0" labelOnly="1" fieldPosition="0">
        <references count="1">
          <reference field="1" count="0"/>
        </references>
      </pivotArea>
    </format>
    <format dxfId="4">
      <pivotArea dataOnly="0" labelOnly="1" grandRow="1" outline="0" fieldPosition="0"/>
    </format>
    <format dxfId="3">
      <pivotArea dataOnly="0" labelOnly="1" outline="0" axis="axisValues" fieldPosition="0"/>
    </format>
  </formats>
  <chartFormats count="26">
    <chartFormat chart="5" format="27" series="1">
      <pivotArea type="data" outline="0" fieldPosition="0">
        <references count="1">
          <reference field="4294967294" count="1" selected="0">
            <x v="0"/>
          </reference>
        </references>
      </pivotArea>
    </chartFormat>
    <chartFormat chart="5" format="28">
      <pivotArea type="data" outline="0" fieldPosition="0">
        <references count="2">
          <reference field="4294967294" count="1" selected="0">
            <x v="0"/>
          </reference>
          <reference field="1" count="1" selected="0">
            <x v="0"/>
          </reference>
        </references>
      </pivotArea>
    </chartFormat>
    <chartFormat chart="5" format="29">
      <pivotArea type="data" outline="0" fieldPosition="0">
        <references count="2">
          <reference field="4294967294" count="1" selected="0">
            <x v="0"/>
          </reference>
          <reference field="1" count="1" selected="0">
            <x v="1"/>
          </reference>
        </references>
      </pivotArea>
    </chartFormat>
    <chartFormat chart="5" format="30">
      <pivotArea type="data" outline="0" fieldPosition="0">
        <references count="2">
          <reference field="4294967294" count="1" selected="0">
            <x v="0"/>
          </reference>
          <reference field="1" count="1" selected="0">
            <x v="2"/>
          </reference>
        </references>
      </pivotArea>
    </chartFormat>
    <chartFormat chart="5" format="31">
      <pivotArea type="data" outline="0" fieldPosition="0">
        <references count="2">
          <reference field="4294967294" count="1" selected="0">
            <x v="0"/>
          </reference>
          <reference field="1" count="1" selected="0">
            <x v="3"/>
          </reference>
        </references>
      </pivotArea>
    </chartFormat>
    <chartFormat chart="5" format="32">
      <pivotArea type="data" outline="0" fieldPosition="0">
        <references count="2">
          <reference field="4294967294" count="1" selected="0">
            <x v="0"/>
          </reference>
          <reference field="1" count="1" selected="0">
            <x v="4"/>
          </reference>
        </references>
      </pivotArea>
    </chartFormat>
    <chartFormat chart="5" format="33">
      <pivotArea type="data" outline="0" fieldPosition="0">
        <references count="2">
          <reference field="4294967294" count="1" selected="0">
            <x v="0"/>
          </reference>
          <reference field="1" count="1" selected="0">
            <x v="5"/>
          </reference>
        </references>
      </pivotArea>
    </chartFormat>
    <chartFormat chart="5" format="34">
      <pivotArea type="data" outline="0" fieldPosition="0">
        <references count="2">
          <reference field="4294967294" count="1" selected="0">
            <x v="0"/>
          </reference>
          <reference field="1" count="1" selected="0">
            <x v="6"/>
          </reference>
        </references>
      </pivotArea>
    </chartFormat>
    <chartFormat chart="5" format="35">
      <pivotArea type="data" outline="0" fieldPosition="0">
        <references count="2">
          <reference field="4294967294" count="1" selected="0">
            <x v="0"/>
          </reference>
          <reference field="1" count="1" selected="0">
            <x v="7"/>
          </reference>
        </references>
      </pivotArea>
    </chartFormat>
    <chartFormat chart="5" format="36">
      <pivotArea type="data" outline="0" fieldPosition="0">
        <references count="2">
          <reference field="4294967294" count="1" selected="0">
            <x v="0"/>
          </reference>
          <reference field="1" count="1" selected="0">
            <x v="8"/>
          </reference>
        </references>
      </pivotArea>
    </chartFormat>
    <chartFormat chart="5" format="37">
      <pivotArea type="data" outline="0" fieldPosition="0">
        <references count="2">
          <reference field="4294967294" count="1" selected="0">
            <x v="0"/>
          </reference>
          <reference field="1" count="1" selected="0">
            <x v="9"/>
          </reference>
        </references>
      </pivotArea>
    </chartFormat>
    <chartFormat chart="5" format="38">
      <pivotArea type="data" outline="0" fieldPosition="0">
        <references count="2">
          <reference field="4294967294" count="1" selected="0">
            <x v="0"/>
          </reference>
          <reference field="1" count="1" selected="0">
            <x v="10"/>
          </reference>
        </references>
      </pivotArea>
    </chartFormat>
    <chartFormat chart="5" format="39">
      <pivotArea type="data" outline="0" fieldPosition="0">
        <references count="2">
          <reference field="4294967294" count="1" selected="0">
            <x v="0"/>
          </reference>
          <reference field="1" count="1" selected="0">
            <x v="11"/>
          </reference>
        </references>
      </pivotArea>
    </chartFormat>
    <chartFormat chart="5" format="40">
      <pivotArea type="data" outline="0" fieldPosition="0">
        <references count="2">
          <reference field="4294967294" count="1" selected="0">
            <x v="0"/>
          </reference>
          <reference field="1" count="1" selected="0">
            <x v="12"/>
          </reference>
        </references>
      </pivotArea>
    </chartFormat>
    <chartFormat chart="5" format="41">
      <pivotArea type="data" outline="0" fieldPosition="0">
        <references count="2">
          <reference field="4294967294" count="1" selected="0">
            <x v="0"/>
          </reference>
          <reference field="1" count="1" selected="0">
            <x v="13"/>
          </reference>
        </references>
      </pivotArea>
    </chartFormat>
    <chartFormat chart="5" format="42">
      <pivotArea type="data" outline="0" fieldPosition="0">
        <references count="2">
          <reference field="4294967294" count="1" selected="0">
            <x v="0"/>
          </reference>
          <reference field="1" count="1" selected="0">
            <x v="14"/>
          </reference>
        </references>
      </pivotArea>
    </chartFormat>
    <chartFormat chart="5" format="43">
      <pivotArea type="data" outline="0" fieldPosition="0">
        <references count="2">
          <reference field="4294967294" count="1" selected="0">
            <x v="0"/>
          </reference>
          <reference field="1" count="1" selected="0">
            <x v="15"/>
          </reference>
        </references>
      </pivotArea>
    </chartFormat>
    <chartFormat chart="5" format="44">
      <pivotArea type="data" outline="0" fieldPosition="0">
        <references count="2">
          <reference field="4294967294" count="1" selected="0">
            <x v="0"/>
          </reference>
          <reference field="1" count="1" selected="0">
            <x v="16"/>
          </reference>
        </references>
      </pivotArea>
    </chartFormat>
    <chartFormat chart="5" format="45">
      <pivotArea type="data" outline="0" fieldPosition="0">
        <references count="2">
          <reference field="4294967294" count="1" selected="0">
            <x v="0"/>
          </reference>
          <reference field="1" count="1" selected="0">
            <x v="17"/>
          </reference>
        </references>
      </pivotArea>
    </chartFormat>
    <chartFormat chart="5" format="46">
      <pivotArea type="data" outline="0" fieldPosition="0">
        <references count="2">
          <reference field="4294967294" count="1" selected="0">
            <x v="0"/>
          </reference>
          <reference field="1" count="1" selected="0">
            <x v="18"/>
          </reference>
        </references>
      </pivotArea>
    </chartFormat>
    <chartFormat chart="5" format="47">
      <pivotArea type="data" outline="0" fieldPosition="0">
        <references count="2">
          <reference field="4294967294" count="1" selected="0">
            <x v="0"/>
          </reference>
          <reference field="1" count="1" selected="0">
            <x v="19"/>
          </reference>
        </references>
      </pivotArea>
    </chartFormat>
    <chartFormat chart="5" format="48">
      <pivotArea type="data" outline="0" fieldPosition="0">
        <references count="2">
          <reference field="4294967294" count="1" selected="0">
            <x v="0"/>
          </reference>
          <reference field="1" count="1" selected="0">
            <x v="20"/>
          </reference>
        </references>
      </pivotArea>
    </chartFormat>
    <chartFormat chart="5" format="49">
      <pivotArea type="data" outline="0" fieldPosition="0">
        <references count="2">
          <reference field="4294967294" count="1" selected="0">
            <x v="0"/>
          </reference>
          <reference field="1" count="1" selected="0">
            <x v="21"/>
          </reference>
        </references>
      </pivotArea>
    </chartFormat>
    <chartFormat chart="5" format="50">
      <pivotArea type="data" outline="0" fieldPosition="0">
        <references count="2">
          <reference field="4294967294" count="1" selected="0">
            <x v="0"/>
          </reference>
          <reference field="1" count="1" selected="0">
            <x v="22"/>
          </reference>
        </references>
      </pivotArea>
    </chartFormat>
    <chartFormat chart="5" format="51">
      <pivotArea type="data" outline="0" fieldPosition="0">
        <references count="2">
          <reference field="4294967294" count="1" selected="0">
            <x v="0"/>
          </reference>
          <reference field="1" count="1" selected="0">
            <x v="23"/>
          </reference>
        </references>
      </pivotArea>
    </chartFormat>
    <chartFormat chart="5" format="52">
      <pivotArea type="data" outline="0" fieldPosition="0">
        <references count="2">
          <reference field="4294967294" count="1" selected="0">
            <x v="0"/>
          </reference>
          <reference field="1" count="1" selected="0">
            <x v="2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1" xr10:uid="{4287AE2E-0650-4E2B-80E6-93A9E3CCE973}" sourceName="Sector">
  <pivotTables>
    <pivotTable tabId="4" name="PivotTable4"/>
  </pivotTables>
  <data>
    <tabular pivotCacheId="1992470427">
      <items count="14">
        <i x="5" s="1"/>
        <i x="7" s="1"/>
        <i x="6" s="1"/>
        <i x="13" s="1"/>
        <i x="8" s="1"/>
        <i x="12" s="1"/>
        <i x="0" s="1"/>
        <i x="4" s="1"/>
        <i x="9" s="1"/>
        <i x="2" s="1"/>
        <i x="11" s="1"/>
        <i x="10"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 xr10:uid="{9224E146-9AE1-4E84-BC8A-A34EE8314951}" sourceName="Sector">
  <pivotTables>
    <pivotTable tabId="4" name="PivotTable3"/>
  </pivotTables>
  <data>
    <tabular pivotCacheId="1992470427">
      <items count="14">
        <i x="5" s="1"/>
        <i x="7" s="1"/>
        <i x="6" s="1"/>
        <i x="13" s="1"/>
        <i x="8" s="1"/>
        <i x="12" s="1"/>
        <i x="0" s="1"/>
        <i x="4" s="1"/>
        <i x="9" s="1"/>
        <i x="2" s="1"/>
        <i x="11" s="1"/>
        <i x="1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oker1" xr10:uid="{8739CFC7-82A1-4642-B115-3B18EBC01D92}" sourceName="Broker">
  <pivotTables>
    <pivotTable tabId="4" name="PivotTable2"/>
  </pivotTables>
  <data>
    <tabular pivotCacheId="1992470427">
      <items count="5">
        <i x="4" s="1"/>
        <i x="1" s="1"/>
        <i x="0"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oker" xr10:uid="{C5471A3C-A30F-4F50-AE20-CB9E464309E8}" sourceName="Broker">
  <pivotTables>
    <pivotTable tabId="4" name="PivotTable1"/>
  </pivotTables>
  <data>
    <tabular pivotCacheId="1992470427">
      <items count="5">
        <i x="4" s="1"/>
        <i x="1" s="1"/>
        <i x="0"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rtfolio_Type" xr10:uid="{6B8E5F1B-0DBD-4AF0-BC9D-BFA4E0C1659B}" sourceName="Portfolio_Type">
  <pivotTables>
    <pivotTable tabId="4" name="PivotTable1"/>
  </pivotTables>
  <data>
    <tabular pivotCacheId="1992470427">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rtfolio_Type1" xr10:uid="{94DEFE46-9BE0-4319-9ACF-7F3D53D03C28}" sourceName="Portfolio_Type">
  <pivotTables>
    <pivotTable tabId="4" name="PivotTable3"/>
  </pivotTables>
  <data>
    <tabular pivotCacheId="1992470427">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or 1" xr10:uid="{754CFE7E-DE6E-4B6E-AFE6-50B0E3F86749}" cache="Slicer_Sector1" caption="Sector" style="SlicerStyleOther1" rowHeight="234950"/>
  <slicer name="Sector" xr10:uid="{5C92F699-3126-448E-A317-AE66DE6FB2A9}" cache="Slicer_Sector" caption="Sector" style="SlicerStyleDark6" rowHeight="234950"/>
  <slicer name="Broker 1" xr10:uid="{4AFC895D-C4F3-4A1C-AD0F-845D47D1AEAE}" cache="Slicer_Broker1" caption="Broker" style="SlicerStyleDark1" rowHeight="234950"/>
  <slicer name="Broker" xr10:uid="{B5E90783-8029-4776-A920-A040ED1173B2}" cache="Slicer_Broker" caption="Broker" style="SlicerStyleDark2" rowHeight="234950"/>
  <slicer name="Portfolio_Type" xr10:uid="{47FD0835-7078-4861-A869-4BEBD4E21EED}" cache="Slicer_Portfolio_Type" caption="Portfolio_Type" rowHeight="234950"/>
  <slicer name="Portfolio_Type 1" xr10:uid="{6A0C4C45-ABB4-497A-93EB-F0CB3E7A70E7}" cache="Slicer_Portfolio_Type1" caption="Portfolio_Type"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350D63-6B3A-4BEC-91E6-E561C3FBCC9B}" name="Table4" displayName="Table4" ref="G5:N133" totalsRowShown="0" tableBorderDxfId="123">
  <autoFilter ref="G5:N133" xr:uid="{3B350D63-6B3A-4BEC-91E6-E561C3FBCC9B}"/>
  <sortState xmlns:xlrd2="http://schemas.microsoft.com/office/spreadsheetml/2017/richdata2" ref="G6:N133">
    <sortCondition ref="G5:G133"/>
  </sortState>
  <tableColumns count="8">
    <tableColumn id="1" xr3:uid="{11DABA51-285D-486C-9F45-15798F77877A}" name="Date" dataDxfId="122"/>
    <tableColumn id="2" xr3:uid="{C907E461-7C06-46A1-9AD5-8B114DD48EEC}" name="Stock"/>
    <tableColumn id="3" xr3:uid="{F4E913F5-D746-4477-A0C7-C7D0DEE1F3E7}" name="Sector"/>
    <tableColumn id="4" xr3:uid="{C94305A2-9102-4C7D-895B-751D4254E56D}" name="Buy_price"/>
    <tableColumn id="5" xr3:uid="{B23C2E96-A09A-4CCB-8E1C-13841CE82204}" name="Current_price"/>
    <tableColumn id="6" xr3:uid="{6990060F-940C-4C46-9E8E-E8ACE62EB0CF}" name="Qty"/>
    <tableColumn id="7" xr3:uid="{AD993824-E9AB-4103-9525-BF4C7F2EB5AC}" name="Broker"/>
    <tableColumn id="8" xr3:uid="{E036C913-405F-4B6E-9453-E446903D6EA0}" name="Portfolio_type"/>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B4CED4-2369-4E71-9054-C8417950164A}" name="Table1" displayName="Table1" ref="A4:L119" totalsRowShown="0" headerRowDxfId="121" dataDxfId="119" headerRowBorderDxfId="120" tableBorderDxfId="118" totalsRowBorderDxfId="117">
  <autoFilter ref="A4:L119" xr:uid="{EAB4CED4-2369-4E71-9054-C8417950164A}"/>
  <sortState xmlns:xlrd2="http://schemas.microsoft.com/office/spreadsheetml/2017/richdata2" ref="A5:L119">
    <sortCondition descending="1" ref="G4:G119"/>
  </sortState>
  <tableColumns count="12">
    <tableColumn id="1" xr3:uid="{DB3A1A25-D685-476B-9BEA-8D43BD861E96}" name="Date" dataDxfId="116"/>
    <tableColumn id="2" xr3:uid="{D5AAB488-F51B-44FE-AA04-9C01BB3A42B7}" name="Stock_Name" dataDxfId="115"/>
    <tableColumn id="3" xr3:uid="{086441B1-2B9B-403A-9EE9-F43DAAED38B7}" name="Sector" dataDxfId="114"/>
    <tableColumn id="4" xr3:uid="{BFCE34C7-0C5B-4331-9BC8-4DDC2A72B590}" name="Buy_Price" dataDxfId="113"/>
    <tableColumn id="6" xr3:uid="{A20D504E-C14D-4C43-A8CE-7BBA049A300F}" name="Quantity" dataDxfId="112"/>
    <tableColumn id="5" xr3:uid="{C0012C57-F0CC-4E3C-A7D0-CF00EE6902C0}" name="Current_Price" dataDxfId="111"/>
    <tableColumn id="12" xr3:uid="{AF68DEB5-C734-48A0-976D-54C9DD05B835}" name="Investment_Value" dataDxfId="110">
      <calculatedColumnFormula>D5*Table1[[#This Row],[Quantity]]</calculatedColumnFormula>
    </tableColumn>
    <tableColumn id="13" xr3:uid="{99B7D749-7786-4FFE-960F-17F43CB6327F}" name="Current_Value" dataDxfId="109">
      <calculatedColumnFormula>Table1[[#This Row],[Current_Price]]*Table1[[#This Row],[Quantity]]</calculatedColumnFormula>
    </tableColumn>
    <tableColumn id="10" xr3:uid="{7CAFDFB2-3501-4663-BBA6-07F204726151}" name="Profit/Loss" dataDxfId="108">
      <calculatedColumnFormula>Table1[[#This Row],[Current_Value]]-Table1[[#This Row],[Investment_Value]]</calculatedColumnFormula>
    </tableColumn>
    <tableColumn id="9" xr3:uid="{CD6D91A3-9CFB-4C54-AEB2-AE102A3B143A}" name="Return%" dataDxfId="107" dataCellStyle="Percent">
      <calculatedColumnFormula>((H5-G5)/G5)</calculatedColumnFormula>
    </tableColumn>
    <tableColumn id="7" xr3:uid="{BE6386A7-F882-4DA6-99CD-5E45CB2CFFF3}" name="Broker" dataDxfId="106"/>
    <tableColumn id="8" xr3:uid="{AA87AB38-6B5C-4C76-B4CC-3244C39308F0}" name="Portfolio_Type" dataDxfId="10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A0DEC-4FEB-4A5B-8017-B1347717C2B8}">
  <sheetPr codeName="Sheet5"/>
  <dimension ref="A1:P25"/>
  <sheetViews>
    <sheetView showGridLines="0" zoomScaleNormal="100" workbookViewId="0">
      <selection sqref="A1:O6"/>
    </sheetView>
  </sheetViews>
  <sheetFormatPr defaultRowHeight="14.4" x14ac:dyDescent="0.3"/>
  <cols>
    <col min="1" max="1" width="12.33203125" customWidth="1"/>
    <col min="2" max="2" width="20.33203125" customWidth="1"/>
    <col min="3" max="3" width="9.6640625" customWidth="1"/>
    <col min="4" max="4" width="15.44140625" customWidth="1"/>
    <col min="5" max="5" width="12.88671875" customWidth="1"/>
    <col min="6" max="6" width="11.109375" customWidth="1"/>
    <col min="7" max="7" width="13.109375" customWidth="1"/>
    <col min="8" max="8" width="12.88671875" customWidth="1"/>
    <col min="9" max="9" width="18" customWidth="1"/>
    <col min="10" max="10" width="8.88671875" customWidth="1"/>
  </cols>
  <sheetData>
    <row r="1" spans="1:16" ht="14.4" customHeight="1" x14ac:dyDescent="0.3">
      <c r="A1" s="25" t="s">
        <v>132</v>
      </c>
      <c r="B1" s="25"/>
      <c r="C1" s="25"/>
      <c r="D1" s="25"/>
      <c r="E1" s="25"/>
      <c r="F1" s="25"/>
      <c r="G1" s="25"/>
      <c r="H1" s="25"/>
      <c r="I1" s="25"/>
      <c r="J1" s="25"/>
      <c r="K1" s="25"/>
      <c r="L1" s="25"/>
      <c r="M1" s="25"/>
      <c r="N1" s="25"/>
      <c r="O1" s="25"/>
      <c r="P1" s="8"/>
    </row>
    <row r="2" spans="1:16" ht="14.4" customHeight="1" x14ac:dyDescent="0.3">
      <c r="A2" s="25"/>
      <c r="B2" s="25"/>
      <c r="C2" s="25"/>
      <c r="D2" s="25"/>
      <c r="E2" s="25"/>
      <c r="F2" s="25"/>
      <c r="G2" s="25"/>
      <c r="H2" s="25"/>
      <c r="I2" s="25"/>
      <c r="J2" s="25"/>
      <c r="K2" s="25"/>
      <c r="L2" s="25"/>
      <c r="M2" s="25"/>
      <c r="N2" s="25"/>
      <c r="O2" s="25"/>
      <c r="P2" s="8"/>
    </row>
    <row r="3" spans="1:16" ht="14.4" customHeight="1" x14ac:dyDescent="0.3">
      <c r="A3" s="25"/>
      <c r="B3" s="25"/>
      <c r="C3" s="25"/>
      <c r="D3" s="25"/>
      <c r="E3" s="25"/>
      <c r="F3" s="25"/>
      <c r="G3" s="25"/>
      <c r="H3" s="25"/>
      <c r="I3" s="25"/>
      <c r="J3" s="25"/>
      <c r="K3" s="25"/>
      <c r="L3" s="25"/>
      <c r="M3" s="25"/>
      <c r="N3" s="25"/>
      <c r="O3" s="25"/>
      <c r="P3" s="8"/>
    </row>
    <row r="4" spans="1:16" ht="14.4" customHeight="1" x14ac:dyDescent="0.3">
      <c r="A4" s="25"/>
      <c r="B4" s="25"/>
      <c r="C4" s="25"/>
      <c r="D4" s="25"/>
      <c r="E4" s="25"/>
      <c r="F4" s="25"/>
      <c r="G4" s="25"/>
      <c r="H4" s="25"/>
      <c r="I4" s="25"/>
      <c r="J4" s="25"/>
      <c r="K4" s="25"/>
      <c r="L4" s="25"/>
      <c r="M4" s="25"/>
      <c r="N4" s="25"/>
      <c r="O4" s="25"/>
      <c r="P4" s="8"/>
    </row>
    <row r="5" spans="1:16" ht="14.4" customHeight="1" x14ac:dyDescent="0.3">
      <c r="A5" s="25"/>
      <c r="B5" s="25"/>
      <c r="C5" s="25"/>
      <c r="D5" s="25"/>
      <c r="E5" s="25"/>
      <c r="F5" s="25"/>
      <c r="G5" s="25"/>
      <c r="H5" s="25"/>
      <c r="I5" s="25"/>
      <c r="J5" s="25"/>
      <c r="K5" s="25"/>
      <c r="L5" s="25"/>
      <c r="M5" s="25"/>
      <c r="N5" s="25"/>
      <c r="O5" s="25"/>
      <c r="P5" s="8"/>
    </row>
    <row r="6" spans="1:16" ht="14.4" customHeight="1" x14ac:dyDescent="0.3">
      <c r="A6" s="25"/>
      <c r="B6" s="25"/>
      <c r="C6" s="25"/>
      <c r="D6" s="25"/>
      <c r="E6" s="25"/>
      <c r="F6" s="25"/>
      <c r="G6" s="25"/>
      <c r="H6" s="25"/>
      <c r="I6" s="25"/>
      <c r="J6" s="25"/>
      <c r="K6" s="25"/>
      <c r="L6" s="25"/>
      <c r="M6" s="25"/>
      <c r="N6" s="25"/>
      <c r="O6" s="25"/>
      <c r="P6" s="8"/>
    </row>
    <row r="7" spans="1:16" ht="14.4" customHeight="1" x14ac:dyDescent="0.3">
      <c r="A7" s="41" t="s">
        <v>133</v>
      </c>
      <c r="B7" s="42"/>
      <c r="C7" s="42"/>
      <c r="D7" s="42"/>
      <c r="E7" s="42"/>
      <c r="F7" s="42"/>
      <c r="G7" s="43"/>
      <c r="I7" s="26" t="s">
        <v>136</v>
      </c>
      <c r="J7" s="27"/>
      <c r="K7" s="27"/>
      <c r="L7" s="27"/>
      <c r="M7" s="27"/>
      <c r="N7" s="27"/>
      <c r="O7" s="28"/>
    </row>
    <row r="8" spans="1:16" ht="14.4" customHeight="1" x14ac:dyDescent="0.3">
      <c r="A8" s="44"/>
      <c r="B8" s="45"/>
      <c r="C8" s="45"/>
      <c r="D8" s="45"/>
      <c r="E8" s="45"/>
      <c r="F8" s="45"/>
      <c r="G8" s="46"/>
      <c r="I8" s="29"/>
      <c r="J8" s="30"/>
      <c r="K8" s="30"/>
      <c r="L8" s="30"/>
      <c r="M8" s="30"/>
      <c r="N8" s="30"/>
      <c r="O8" s="31"/>
    </row>
    <row r="9" spans="1:16" ht="14.4" customHeight="1" x14ac:dyDescent="0.3">
      <c r="A9" s="47">
        <f>SUM(Holdings!K6:K30)</f>
        <v>68246479.909999996</v>
      </c>
      <c r="B9" s="48"/>
      <c r="C9" s="48"/>
      <c r="D9" s="48"/>
      <c r="E9" s="48"/>
      <c r="F9" s="48"/>
      <c r="G9" s="49"/>
      <c r="I9" s="32">
        <f>A16-A9</f>
        <v>5853100.2700000107</v>
      </c>
      <c r="J9" s="33"/>
      <c r="K9" s="33"/>
      <c r="L9" s="33"/>
      <c r="M9" s="33"/>
      <c r="N9" s="33"/>
      <c r="O9" s="34"/>
    </row>
    <row r="10" spans="1:16" ht="14.4" customHeight="1" x14ac:dyDescent="0.3">
      <c r="A10" s="50"/>
      <c r="B10" s="51"/>
      <c r="C10" s="51"/>
      <c r="D10" s="51"/>
      <c r="E10" s="51"/>
      <c r="F10" s="51"/>
      <c r="G10" s="52"/>
      <c r="I10" s="35"/>
      <c r="J10" s="36"/>
      <c r="K10" s="36"/>
      <c r="L10" s="36"/>
      <c r="M10" s="36"/>
      <c r="N10" s="36"/>
      <c r="O10" s="37"/>
    </row>
    <row r="11" spans="1:16" ht="14.4" customHeight="1" x14ac:dyDescent="0.3">
      <c r="A11" s="50"/>
      <c r="B11" s="51"/>
      <c r="C11" s="51"/>
      <c r="D11" s="51"/>
      <c r="E11" s="51"/>
      <c r="F11" s="51"/>
      <c r="G11" s="52"/>
      <c r="I11" s="35"/>
      <c r="J11" s="36"/>
      <c r="K11" s="36"/>
      <c r="L11" s="36"/>
      <c r="M11" s="36"/>
      <c r="N11" s="36"/>
      <c r="O11" s="37"/>
    </row>
    <row r="12" spans="1:16" ht="14.4" customHeight="1" x14ac:dyDescent="0.3">
      <c r="A12" s="50"/>
      <c r="B12" s="51"/>
      <c r="C12" s="51"/>
      <c r="D12" s="51"/>
      <c r="E12" s="51"/>
      <c r="F12" s="51"/>
      <c r="G12" s="52"/>
      <c r="I12" s="35"/>
      <c r="J12" s="36"/>
      <c r="K12" s="36"/>
      <c r="L12" s="36"/>
      <c r="M12" s="36"/>
      <c r="N12" s="36"/>
      <c r="O12" s="37"/>
    </row>
    <row r="13" spans="1:16" ht="14.4" customHeight="1" x14ac:dyDescent="0.3">
      <c r="A13" s="53"/>
      <c r="B13" s="54"/>
      <c r="C13" s="54"/>
      <c r="D13" s="54"/>
      <c r="E13" s="54"/>
      <c r="F13" s="54"/>
      <c r="G13" s="55"/>
      <c r="I13" s="38"/>
      <c r="J13" s="39"/>
      <c r="K13" s="39"/>
      <c r="L13" s="39"/>
      <c r="M13" s="39"/>
      <c r="N13" s="39"/>
      <c r="O13" s="40"/>
    </row>
    <row r="14" spans="1:16" x14ac:dyDescent="0.3">
      <c r="A14" s="71" t="s">
        <v>134</v>
      </c>
      <c r="B14" s="72"/>
      <c r="C14" s="72"/>
      <c r="D14" s="72"/>
      <c r="E14" s="72"/>
      <c r="F14" s="72"/>
      <c r="G14" s="73"/>
      <c r="I14" s="56" t="s">
        <v>135</v>
      </c>
      <c r="J14" s="57"/>
      <c r="K14" s="57"/>
      <c r="L14" s="57"/>
      <c r="M14" s="57"/>
      <c r="N14" s="57"/>
      <c r="O14" s="58"/>
    </row>
    <row r="15" spans="1:16" x14ac:dyDescent="0.3">
      <c r="A15" s="74"/>
      <c r="B15" s="75"/>
      <c r="C15" s="75"/>
      <c r="D15" s="75"/>
      <c r="E15" s="75"/>
      <c r="F15" s="75"/>
      <c r="G15" s="76"/>
      <c r="I15" s="59"/>
      <c r="J15" s="60"/>
      <c r="K15" s="60"/>
      <c r="L15" s="60"/>
      <c r="M15" s="60"/>
      <c r="N15" s="60"/>
      <c r="O15" s="61"/>
    </row>
    <row r="16" spans="1:16" ht="14.4" customHeight="1" x14ac:dyDescent="0.3">
      <c r="A16" s="16">
        <f>SUM(Holdings!J6:J30)</f>
        <v>74099580.180000007</v>
      </c>
      <c r="B16" s="17"/>
      <c r="C16" s="17"/>
      <c r="D16" s="17"/>
      <c r="E16" s="17"/>
      <c r="F16" s="17"/>
      <c r="G16" s="18"/>
      <c r="I16" s="62">
        <f>I9/A9</f>
        <v>8.5764134321928157E-2</v>
      </c>
      <c r="J16" s="63"/>
      <c r="K16" s="63"/>
      <c r="L16" s="63"/>
      <c r="M16" s="63"/>
      <c r="N16" s="63"/>
      <c r="O16" s="64"/>
    </row>
    <row r="17" spans="1:15" ht="14.4" customHeight="1" x14ac:dyDescent="0.3">
      <c r="A17" s="19"/>
      <c r="B17" s="20"/>
      <c r="C17" s="20"/>
      <c r="D17" s="20"/>
      <c r="E17" s="20"/>
      <c r="F17" s="20"/>
      <c r="G17" s="21"/>
      <c r="I17" s="65"/>
      <c r="J17" s="66"/>
      <c r="K17" s="66"/>
      <c r="L17" s="66"/>
      <c r="M17" s="66"/>
      <c r="N17" s="66"/>
      <c r="O17" s="67"/>
    </row>
    <row r="18" spans="1:15" ht="14.4" customHeight="1" x14ac:dyDescent="0.3">
      <c r="A18" s="19"/>
      <c r="B18" s="20"/>
      <c r="C18" s="20"/>
      <c r="D18" s="20"/>
      <c r="E18" s="20"/>
      <c r="F18" s="20"/>
      <c r="G18" s="21"/>
      <c r="I18" s="65"/>
      <c r="J18" s="66"/>
      <c r="K18" s="66"/>
      <c r="L18" s="66"/>
      <c r="M18" s="66"/>
      <c r="N18" s="66"/>
      <c r="O18" s="67"/>
    </row>
    <row r="19" spans="1:15" ht="14.4" customHeight="1" x14ac:dyDescent="0.3">
      <c r="A19" s="19"/>
      <c r="B19" s="20"/>
      <c r="C19" s="20"/>
      <c r="D19" s="20"/>
      <c r="E19" s="20"/>
      <c r="F19" s="20"/>
      <c r="G19" s="21"/>
      <c r="I19" s="65"/>
      <c r="J19" s="66"/>
      <c r="K19" s="66"/>
      <c r="L19" s="66"/>
      <c r="M19" s="66"/>
      <c r="N19" s="66"/>
      <c r="O19" s="67"/>
    </row>
    <row r="20" spans="1:15" ht="14.4" customHeight="1" x14ac:dyDescent="0.3">
      <c r="A20" s="22"/>
      <c r="B20" s="23"/>
      <c r="C20" s="23"/>
      <c r="D20" s="23"/>
      <c r="E20" s="23"/>
      <c r="F20" s="23"/>
      <c r="G20" s="24"/>
      <c r="I20" s="68"/>
      <c r="J20" s="69"/>
      <c r="K20" s="69"/>
      <c r="L20" s="69"/>
      <c r="M20" s="69"/>
      <c r="N20" s="69"/>
      <c r="O20" s="70"/>
    </row>
    <row r="21" spans="1:15" ht="14.4" customHeight="1" x14ac:dyDescent="0.3"/>
    <row r="22" spans="1:15" ht="14.4" customHeight="1" x14ac:dyDescent="0.3"/>
    <row r="23" spans="1:15" ht="14.4" customHeight="1" x14ac:dyDescent="0.3">
      <c r="E23" s="121" t="s">
        <v>170</v>
      </c>
      <c r="F23" s="121"/>
      <c r="G23" s="121" t="s">
        <v>139</v>
      </c>
      <c r="H23" s="121" t="s">
        <v>171</v>
      </c>
      <c r="I23" s="121"/>
      <c r="J23" s="121" t="s">
        <v>172</v>
      </c>
      <c r="K23" s="121"/>
      <c r="L23" s="121" t="s">
        <v>174</v>
      </c>
      <c r="M23" s="121"/>
    </row>
    <row r="24" spans="1:15" ht="14.4" customHeight="1" x14ac:dyDescent="0.3">
      <c r="A24" s="15"/>
      <c r="B24" s="15"/>
      <c r="C24" s="15"/>
      <c r="E24" s="121"/>
      <c r="F24" s="121"/>
      <c r="G24" s="121"/>
      <c r="H24" s="121"/>
      <c r="I24" s="121"/>
      <c r="J24" s="121"/>
      <c r="K24" s="121"/>
      <c r="L24" s="121"/>
      <c r="M24" s="121"/>
    </row>
    <row r="25" spans="1:15" ht="14.4" customHeight="1" x14ac:dyDescent="0.3">
      <c r="A25" s="15"/>
      <c r="B25" s="15"/>
      <c r="C25" s="15"/>
      <c r="D25" s="15"/>
      <c r="E25" s="121"/>
      <c r="F25" s="121"/>
      <c r="G25" s="121"/>
      <c r="H25" s="121"/>
      <c r="I25" s="121"/>
      <c r="J25" s="121"/>
      <c r="K25" s="121"/>
      <c r="L25" s="121"/>
      <c r="M25" s="121"/>
    </row>
  </sheetData>
  <mergeCells count="14">
    <mergeCell ref="E23:F25"/>
    <mergeCell ref="G23:G25"/>
    <mergeCell ref="H23:I25"/>
    <mergeCell ref="J23:K25"/>
    <mergeCell ref="L23:M25"/>
    <mergeCell ref="A16:G20"/>
    <mergeCell ref="A1:O6"/>
    <mergeCell ref="I7:O8"/>
    <mergeCell ref="I9:O13"/>
    <mergeCell ref="A7:G8"/>
    <mergeCell ref="A9:G13"/>
    <mergeCell ref="I14:O15"/>
    <mergeCell ref="I16:O20"/>
    <mergeCell ref="A14:G15"/>
  </mergeCells>
  <hyperlinks>
    <hyperlink ref="E23" location="'Cleaned Data'!A1" display="Cleaned Data" xr:uid="{54DB2064-B963-42B6-B0FC-4F7B33155B92}"/>
    <hyperlink ref="G23" location="'Add Stock'!A1" display="Add Stock" xr:uid="{E1B39B77-745A-4AE7-B98E-85C062C0E0DF}"/>
    <hyperlink ref="J23" location="Visualization!A1" display="Visualization" xr:uid="{0F4B16AD-D3F4-4CD9-8649-B05EE516A757}"/>
    <hyperlink ref="L23" location="Raw_Stock_Portfolio_Data!A1" display="Raw Data" xr:uid="{14C8B9B7-35A4-4EFE-B7DC-928904E78547}"/>
    <hyperlink ref="H23" location="'Portfolio Analysis'!A1" display="Portfolio Analysis" xr:uid="{28D23FEC-83AE-4135-BDDA-45B6B5A22F0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3:O133"/>
  <sheetViews>
    <sheetView workbookViewId="0">
      <selection activeCell="R15" sqref="R15"/>
    </sheetView>
  </sheetViews>
  <sheetFormatPr defaultRowHeight="14.4" x14ac:dyDescent="0.3"/>
  <cols>
    <col min="7" max="7" width="11.88671875" bestFit="1" customWidth="1"/>
    <col min="8" max="8" width="13.5546875" bestFit="1" customWidth="1"/>
    <col min="9" max="9" width="16.88671875" bestFit="1" customWidth="1"/>
    <col min="10" max="10" width="11.5546875" bestFit="1" customWidth="1"/>
    <col min="11" max="11" width="14.6640625" bestFit="1" customWidth="1"/>
    <col min="12" max="12" width="6.21875" bestFit="1" customWidth="1"/>
    <col min="13" max="13" width="10.44140625" customWidth="1"/>
    <col min="14" max="14" width="14.88671875" bestFit="1" customWidth="1"/>
  </cols>
  <sheetData>
    <row r="3" spans="7:15" x14ac:dyDescent="0.3">
      <c r="G3" s="102" t="s">
        <v>149</v>
      </c>
      <c r="H3" s="102"/>
      <c r="I3" s="102"/>
      <c r="J3" s="102"/>
      <c r="K3" s="102"/>
      <c r="L3" s="102"/>
      <c r="M3" s="102"/>
      <c r="N3" s="102"/>
    </row>
    <row r="4" spans="7:15" x14ac:dyDescent="0.3">
      <c r="G4" s="102"/>
      <c r="H4" s="102"/>
      <c r="I4" s="102"/>
      <c r="J4" s="102"/>
      <c r="K4" s="102"/>
      <c r="L4" s="102"/>
      <c r="M4" s="102"/>
      <c r="N4" s="102"/>
    </row>
    <row r="5" spans="7:15" x14ac:dyDescent="0.3">
      <c r="G5" t="s">
        <v>0</v>
      </c>
      <c r="H5" t="s">
        <v>138</v>
      </c>
      <c r="I5" t="s">
        <v>2</v>
      </c>
      <c r="J5" t="s">
        <v>151</v>
      </c>
      <c r="K5" t="s">
        <v>152</v>
      </c>
      <c r="L5" t="s">
        <v>140</v>
      </c>
      <c r="M5" t="s">
        <v>6</v>
      </c>
      <c r="N5" t="s">
        <v>153</v>
      </c>
    </row>
    <row r="6" spans="7:15" x14ac:dyDescent="0.3">
      <c r="G6" s="13">
        <v>45748</v>
      </c>
      <c r="H6" t="s">
        <v>63</v>
      </c>
      <c r="I6" t="s">
        <v>64</v>
      </c>
      <c r="K6">
        <v>1162.5999999999999</v>
      </c>
      <c r="L6">
        <v>218</v>
      </c>
      <c r="M6" t="s">
        <v>30</v>
      </c>
      <c r="N6" t="s">
        <v>16</v>
      </c>
    </row>
    <row r="7" spans="7:15" x14ac:dyDescent="0.3">
      <c r="G7" s="13">
        <v>45749</v>
      </c>
      <c r="H7" t="s">
        <v>20</v>
      </c>
      <c r="I7" t="s">
        <v>21</v>
      </c>
      <c r="J7">
        <v>-416.83</v>
      </c>
      <c r="K7">
        <v>851.11</v>
      </c>
      <c r="L7">
        <v>179</v>
      </c>
      <c r="M7" t="s">
        <v>22</v>
      </c>
      <c r="N7" t="s">
        <v>12</v>
      </c>
    </row>
    <row r="8" spans="7:15" x14ac:dyDescent="0.3">
      <c r="G8" s="13">
        <v>45750</v>
      </c>
      <c r="H8" t="s">
        <v>88</v>
      </c>
      <c r="I8" t="s">
        <v>43</v>
      </c>
      <c r="J8">
        <v>843.15</v>
      </c>
      <c r="K8">
        <v>923.65</v>
      </c>
      <c r="L8">
        <v>214</v>
      </c>
      <c r="M8" t="s">
        <v>37</v>
      </c>
      <c r="N8" t="s">
        <v>18</v>
      </c>
    </row>
    <row r="9" spans="7:15" x14ac:dyDescent="0.3">
      <c r="G9" s="13">
        <v>45751</v>
      </c>
      <c r="H9" t="s">
        <v>88</v>
      </c>
      <c r="I9" t="s">
        <v>43</v>
      </c>
      <c r="J9">
        <v>-132.08000000000001</v>
      </c>
      <c r="K9">
        <v>2571.35</v>
      </c>
      <c r="L9">
        <v>40</v>
      </c>
      <c r="M9" t="s">
        <v>35</v>
      </c>
      <c r="N9" t="s">
        <v>18</v>
      </c>
    </row>
    <row r="10" spans="7:15" ht="15.6" x14ac:dyDescent="0.3">
      <c r="G10" s="13">
        <v>45752</v>
      </c>
      <c r="H10" t="s">
        <v>121</v>
      </c>
      <c r="I10" t="s">
        <v>122</v>
      </c>
      <c r="J10">
        <v>595.6</v>
      </c>
      <c r="K10">
        <v>673.65</v>
      </c>
      <c r="L10">
        <v>326</v>
      </c>
      <c r="M10" t="s">
        <v>11</v>
      </c>
      <c r="N10" t="s">
        <v>16</v>
      </c>
      <c r="O10" s="12"/>
    </row>
    <row r="11" spans="7:15" x14ac:dyDescent="0.3">
      <c r="G11" s="13">
        <v>45753</v>
      </c>
      <c r="H11" t="s">
        <v>14</v>
      </c>
      <c r="I11" t="s">
        <v>15</v>
      </c>
      <c r="J11">
        <v>2257.4699999999998</v>
      </c>
      <c r="K11">
        <v>1854.2</v>
      </c>
      <c r="L11">
        <v>64</v>
      </c>
      <c r="M11" t="s">
        <v>11</v>
      </c>
      <c r="N11" t="s">
        <v>16</v>
      </c>
    </row>
    <row r="12" spans="7:15" x14ac:dyDescent="0.3">
      <c r="G12" s="13">
        <v>45754</v>
      </c>
      <c r="H12" t="s">
        <v>26</v>
      </c>
      <c r="I12" t="s">
        <v>27</v>
      </c>
      <c r="J12">
        <v>2607.8000000000002</v>
      </c>
      <c r="K12">
        <v>2024.87</v>
      </c>
      <c r="L12">
        <v>49</v>
      </c>
      <c r="M12" t="s">
        <v>11</v>
      </c>
      <c r="N12" t="s">
        <v>18</v>
      </c>
    </row>
    <row r="13" spans="7:15" x14ac:dyDescent="0.3">
      <c r="G13" s="13">
        <v>45755</v>
      </c>
      <c r="H13" t="s">
        <v>17</v>
      </c>
      <c r="I13" t="s">
        <v>15</v>
      </c>
      <c r="J13">
        <v>3113.05</v>
      </c>
      <c r="L13">
        <v>298</v>
      </c>
      <c r="M13" t="s">
        <v>37</v>
      </c>
      <c r="N13" t="s">
        <v>12</v>
      </c>
    </row>
    <row r="14" spans="7:15" x14ac:dyDescent="0.3">
      <c r="G14" s="13">
        <v>45756</v>
      </c>
      <c r="H14" t="s">
        <v>60</v>
      </c>
      <c r="I14" t="s">
        <v>61</v>
      </c>
      <c r="J14">
        <v>271.93</v>
      </c>
      <c r="K14">
        <v>205.96</v>
      </c>
      <c r="L14">
        <v>439</v>
      </c>
      <c r="M14" t="s">
        <v>30</v>
      </c>
      <c r="N14" t="s">
        <v>18</v>
      </c>
    </row>
    <row r="15" spans="7:15" x14ac:dyDescent="0.3">
      <c r="G15" s="13">
        <v>45757</v>
      </c>
      <c r="H15" t="s">
        <v>45</v>
      </c>
      <c r="I15" t="s">
        <v>10</v>
      </c>
      <c r="J15">
        <v>4413.92</v>
      </c>
      <c r="K15">
        <v>4376.75</v>
      </c>
      <c r="L15">
        <v>264</v>
      </c>
      <c r="M15" t="s">
        <v>22</v>
      </c>
      <c r="N15" t="s">
        <v>12</v>
      </c>
    </row>
    <row r="16" spans="7:15" x14ac:dyDescent="0.3">
      <c r="G16" s="13">
        <v>45758</v>
      </c>
      <c r="H16" t="s">
        <v>70</v>
      </c>
      <c r="I16" t="s">
        <v>71</v>
      </c>
      <c r="J16">
        <v>2017.16</v>
      </c>
      <c r="K16">
        <v>2075</v>
      </c>
      <c r="L16">
        <v>474</v>
      </c>
      <c r="M16" t="s">
        <v>35</v>
      </c>
      <c r="N16" t="s">
        <v>18</v>
      </c>
    </row>
    <row r="17" spans="7:14" x14ac:dyDescent="0.3">
      <c r="G17" s="13">
        <v>45759</v>
      </c>
      <c r="H17" t="s">
        <v>105</v>
      </c>
      <c r="I17" t="s">
        <v>10</v>
      </c>
      <c r="J17">
        <v>4043.71</v>
      </c>
      <c r="K17">
        <v>3760.04</v>
      </c>
      <c r="L17">
        <v>487</v>
      </c>
      <c r="M17" t="s">
        <v>37</v>
      </c>
      <c r="N17" t="s">
        <v>18</v>
      </c>
    </row>
    <row r="18" spans="7:14" x14ac:dyDescent="0.3">
      <c r="G18" s="13">
        <v>45760</v>
      </c>
      <c r="H18" t="s">
        <v>55</v>
      </c>
      <c r="I18" t="s">
        <v>56</v>
      </c>
      <c r="J18">
        <v>3697.99</v>
      </c>
      <c r="K18">
        <v>4287.63</v>
      </c>
      <c r="L18">
        <v>412</v>
      </c>
      <c r="M18" t="s">
        <v>22</v>
      </c>
      <c r="N18" t="s">
        <v>18</v>
      </c>
    </row>
    <row r="19" spans="7:14" x14ac:dyDescent="0.3">
      <c r="G19" s="13">
        <v>45761</v>
      </c>
      <c r="H19" t="s">
        <v>14</v>
      </c>
      <c r="I19" t="s">
        <v>15</v>
      </c>
      <c r="J19">
        <v>2787.17</v>
      </c>
      <c r="K19">
        <v>2316.41</v>
      </c>
      <c r="L19">
        <v>426</v>
      </c>
      <c r="M19" t="s">
        <v>11</v>
      </c>
      <c r="N19" t="s">
        <v>16</v>
      </c>
    </row>
    <row r="20" spans="7:14" x14ac:dyDescent="0.3">
      <c r="G20" s="13">
        <v>45762</v>
      </c>
      <c r="H20" t="s">
        <v>33</v>
      </c>
      <c r="I20" t="s">
        <v>34</v>
      </c>
      <c r="J20">
        <v>2454.19</v>
      </c>
      <c r="K20">
        <v>2950.96</v>
      </c>
      <c r="L20">
        <v>143</v>
      </c>
      <c r="M20" t="s">
        <v>11</v>
      </c>
      <c r="N20" t="s">
        <v>18</v>
      </c>
    </row>
    <row r="21" spans="7:14" x14ac:dyDescent="0.3">
      <c r="G21" s="13">
        <v>45763</v>
      </c>
      <c r="H21" t="s">
        <v>60</v>
      </c>
      <c r="I21" t="s">
        <v>61</v>
      </c>
      <c r="J21">
        <v>3232.11</v>
      </c>
      <c r="K21">
        <v>3403.18</v>
      </c>
      <c r="L21">
        <v>249</v>
      </c>
      <c r="M21" t="s">
        <v>11</v>
      </c>
      <c r="N21" t="s">
        <v>12</v>
      </c>
    </row>
    <row r="22" spans="7:14" x14ac:dyDescent="0.3">
      <c r="G22" s="13">
        <v>45764</v>
      </c>
      <c r="H22" t="s">
        <v>26</v>
      </c>
      <c r="I22" t="s">
        <v>27</v>
      </c>
      <c r="J22">
        <v>3002.51</v>
      </c>
      <c r="K22">
        <v>3123.2</v>
      </c>
      <c r="L22">
        <v>464</v>
      </c>
      <c r="M22" t="s">
        <v>22</v>
      </c>
      <c r="N22" t="s">
        <v>18</v>
      </c>
    </row>
    <row r="23" spans="7:14" x14ac:dyDescent="0.3">
      <c r="G23" s="13">
        <v>45765</v>
      </c>
      <c r="H23" t="s">
        <v>50</v>
      </c>
      <c r="I23" t="s">
        <v>21</v>
      </c>
      <c r="J23">
        <v>392.39</v>
      </c>
      <c r="K23">
        <v>299.19</v>
      </c>
      <c r="L23">
        <v>245</v>
      </c>
      <c r="M23" t="s">
        <v>35</v>
      </c>
      <c r="N23" t="s">
        <v>16</v>
      </c>
    </row>
    <row r="24" spans="7:14" x14ac:dyDescent="0.3">
      <c r="G24" s="13">
        <v>45766</v>
      </c>
      <c r="H24" t="s">
        <v>69</v>
      </c>
      <c r="I24" t="s">
        <v>15</v>
      </c>
      <c r="J24">
        <v>4426.57</v>
      </c>
      <c r="L24">
        <v>116</v>
      </c>
      <c r="M24" t="s">
        <v>35</v>
      </c>
      <c r="N24" t="s">
        <v>12</v>
      </c>
    </row>
    <row r="25" spans="7:14" x14ac:dyDescent="0.3">
      <c r="G25" s="13">
        <v>45767</v>
      </c>
      <c r="H25" t="s">
        <v>88</v>
      </c>
      <c r="I25" t="s">
        <v>43</v>
      </c>
      <c r="J25">
        <v>4228.54</v>
      </c>
      <c r="K25">
        <v>5491.95</v>
      </c>
      <c r="L25">
        <v>24</v>
      </c>
      <c r="M25" t="s">
        <v>35</v>
      </c>
      <c r="N25" t="s">
        <v>12</v>
      </c>
    </row>
    <row r="26" spans="7:14" x14ac:dyDescent="0.3">
      <c r="G26" s="13">
        <v>45768</v>
      </c>
      <c r="H26" t="s">
        <v>42</v>
      </c>
      <c r="I26" t="s">
        <v>43</v>
      </c>
      <c r="J26">
        <v>2636.01</v>
      </c>
      <c r="K26">
        <v>2967.4</v>
      </c>
      <c r="L26">
        <v>89</v>
      </c>
      <c r="M26" t="s">
        <v>37</v>
      </c>
      <c r="N26" t="s">
        <v>12</v>
      </c>
    </row>
    <row r="27" spans="7:14" x14ac:dyDescent="0.3">
      <c r="G27" s="13">
        <v>45769</v>
      </c>
      <c r="H27" t="s">
        <v>79</v>
      </c>
      <c r="I27" t="s">
        <v>61</v>
      </c>
      <c r="J27">
        <v>4359.53</v>
      </c>
      <c r="K27">
        <v>3567.11</v>
      </c>
      <c r="L27">
        <v>322</v>
      </c>
      <c r="M27" t="s">
        <v>37</v>
      </c>
      <c r="N27" t="s">
        <v>12</v>
      </c>
    </row>
    <row r="28" spans="7:14" x14ac:dyDescent="0.3">
      <c r="G28" s="13">
        <v>45770</v>
      </c>
      <c r="H28" t="s">
        <v>73</v>
      </c>
      <c r="I28" t="s">
        <v>10</v>
      </c>
      <c r="J28">
        <v>4774.72</v>
      </c>
      <c r="K28">
        <v>5983.79</v>
      </c>
      <c r="L28">
        <v>142</v>
      </c>
      <c r="M28" t="s">
        <v>11</v>
      </c>
      <c r="N28" t="s">
        <v>16</v>
      </c>
    </row>
    <row r="29" spans="7:14" x14ac:dyDescent="0.3">
      <c r="G29" s="13">
        <v>45771</v>
      </c>
      <c r="H29" t="s">
        <v>17</v>
      </c>
      <c r="I29" t="s">
        <v>15</v>
      </c>
      <c r="J29">
        <v>1025.04</v>
      </c>
      <c r="K29">
        <v>1180.95</v>
      </c>
      <c r="L29">
        <v>22</v>
      </c>
      <c r="M29" t="s">
        <v>11</v>
      </c>
      <c r="N29" t="s">
        <v>12</v>
      </c>
    </row>
    <row r="30" spans="7:14" x14ac:dyDescent="0.3">
      <c r="G30" s="13">
        <v>45772</v>
      </c>
      <c r="H30" t="s">
        <v>69</v>
      </c>
      <c r="I30" t="s">
        <v>15</v>
      </c>
      <c r="J30">
        <v>1862.81</v>
      </c>
      <c r="K30">
        <v>1572.79</v>
      </c>
      <c r="L30">
        <v>35</v>
      </c>
      <c r="M30" t="s">
        <v>35</v>
      </c>
      <c r="N30" t="s">
        <v>18</v>
      </c>
    </row>
    <row r="31" spans="7:14" x14ac:dyDescent="0.3">
      <c r="G31" s="13">
        <v>45773</v>
      </c>
      <c r="H31" t="s">
        <v>14</v>
      </c>
      <c r="I31" t="s">
        <v>15</v>
      </c>
      <c r="J31">
        <v>1992.46</v>
      </c>
      <c r="K31">
        <v>1790.52</v>
      </c>
      <c r="L31">
        <v>382</v>
      </c>
      <c r="M31" t="s">
        <v>30</v>
      </c>
      <c r="N31" t="s">
        <v>12</v>
      </c>
    </row>
    <row r="32" spans="7:14" x14ac:dyDescent="0.3">
      <c r="G32" s="13">
        <v>45774</v>
      </c>
      <c r="H32" t="s">
        <v>14</v>
      </c>
      <c r="I32" t="s">
        <v>15</v>
      </c>
      <c r="J32">
        <v>1117.98</v>
      </c>
      <c r="K32">
        <v>963.57</v>
      </c>
      <c r="L32">
        <v>423</v>
      </c>
      <c r="M32" t="s">
        <v>30</v>
      </c>
      <c r="N32" t="s">
        <v>12</v>
      </c>
    </row>
    <row r="33" spans="7:14" x14ac:dyDescent="0.3">
      <c r="G33" s="13">
        <v>45775</v>
      </c>
      <c r="H33" t="s">
        <v>17</v>
      </c>
      <c r="I33" t="s">
        <v>15</v>
      </c>
      <c r="J33">
        <v>4106.91</v>
      </c>
      <c r="K33">
        <v>5103.25</v>
      </c>
      <c r="L33">
        <v>277</v>
      </c>
      <c r="M33" t="s">
        <v>37</v>
      </c>
      <c r="N33" t="s">
        <v>16</v>
      </c>
    </row>
    <row r="34" spans="7:14" x14ac:dyDescent="0.3">
      <c r="G34" s="13">
        <v>45776</v>
      </c>
      <c r="H34" t="s">
        <v>40</v>
      </c>
      <c r="I34" t="s">
        <v>10</v>
      </c>
      <c r="J34">
        <v>3840.01</v>
      </c>
      <c r="K34">
        <v>3097.84</v>
      </c>
      <c r="L34">
        <v>247</v>
      </c>
      <c r="M34" t="s">
        <v>30</v>
      </c>
      <c r="N34" t="s">
        <v>18</v>
      </c>
    </row>
    <row r="35" spans="7:14" x14ac:dyDescent="0.3">
      <c r="G35" s="13">
        <v>45777</v>
      </c>
      <c r="H35" t="s">
        <v>63</v>
      </c>
      <c r="I35" t="s">
        <v>64</v>
      </c>
      <c r="J35">
        <v>3117.21</v>
      </c>
      <c r="K35">
        <v>2734.14</v>
      </c>
      <c r="L35">
        <v>346</v>
      </c>
      <c r="M35" t="s">
        <v>11</v>
      </c>
      <c r="N35" t="s">
        <v>18</v>
      </c>
    </row>
    <row r="36" spans="7:14" x14ac:dyDescent="0.3">
      <c r="G36" s="13">
        <v>45778</v>
      </c>
      <c r="H36" t="s">
        <v>29</v>
      </c>
      <c r="I36" t="s">
        <v>15</v>
      </c>
      <c r="J36">
        <v>2216.7600000000002</v>
      </c>
      <c r="K36">
        <v>2076.37</v>
      </c>
      <c r="L36">
        <v>233</v>
      </c>
      <c r="M36" t="s">
        <v>30</v>
      </c>
      <c r="N36" t="s">
        <v>12</v>
      </c>
    </row>
    <row r="37" spans="7:14" x14ac:dyDescent="0.3">
      <c r="G37" s="13">
        <v>45779</v>
      </c>
      <c r="H37" t="s">
        <v>9</v>
      </c>
      <c r="I37" t="s">
        <v>10</v>
      </c>
      <c r="J37">
        <v>852.2</v>
      </c>
      <c r="K37">
        <v>830.89</v>
      </c>
      <c r="L37">
        <v>305</v>
      </c>
      <c r="M37" t="s">
        <v>11</v>
      </c>
      <c r="N37" t="s">
        <v>16</v>
      </c>
    </row>
    <row r="38" spans="7:14" x14ac:dyDescent="0.3">
      <c r="G38" s="13">
        <v>45780</v>
      </c>
      <c r="H38" t="s">
        <v>73</v>
      </c>
      <c r="I38" t="s">
        <v>10</v>
      </c>
      <c r="K38">
        <v>3244.35</v>
      </c>
      <c r="L38">
        <v>403</v>
      </c>
      <c r="M38" t="s">
        <v>35</v>
      </c>
      <c r="N38" t="s">
        <v>12</v>
      </c>
    </row>
    <row r="39" spans="7:14" x14ac:dyDescent="0.3">
      <c r="G39" s="13">
        <v>45781</v>
      </c>
      <c r="H39" t="s">
        <v>20</v>
      </c>
      <c r="I39" t="s">
        <v>21</v>
      </c>
      <c r="J39">
        <v>1577.27</v>
      </c>
      <c r="K39">
        <v>1328.6</v>
      </c>
      <c r="L39">
        <v>339</v>
      </c>
      <c r="M39" t="s">
        <v>22</v>
      </c>
      <c r="N39" t="s">
        <v>12</v>
      </c>
    </row>
    <row r="40" spans="7:14" x14ac:dyDescent="0.3">
      <c r="G40" s="13">
        <v>45782</v>
      </c>
      <c r="H40" t="s">
        <v>20</v>
      </c>
      <c r="I40" t="s">
        <v>21</v>
      </c>
      <c r="J40">
        <v>1577.27</v>
      </c>
      <c r="K40">
        <v>1328.6</v>
      </c>
      <c r="L40">
        <v>339</v>
      </c>
      <c r="M40" t="s">
        <v>22</v>
      </c>
      <c r="N40" t="s">
        <v>12</v>
      </c>
    </row>
    <row r="41" spans="7:14" x14ac:dyDescent="0.3">
      <c r="G41" s="13">
        <v>45783</v>
      </c>
      <c r="H41" t="s">
        <v>63</v>
      </c>
      <c r="I41" t="s">
        <v>64</v>
      </c>
      <c r="J41">
        <v>2189</v>
      </c>
      <c r="K41">
        <v>1836.17</v>
      </c>
      <c r="L41">
        <v>334</v>
      </c>
      <c r="M41" t="s">
        <v>35</v>
      </c>
      <c r="N41" t="s">
        <v>18</v>
      </c>
    </row>
    <row r="42" spans="7:14" x14ac:dyDescent="0.3">
      <c r="G42" s="13">
        <v>45784</v>
      </c>
      <c r="H42" t="s">
        <v>14</v>
      </c>
      <c r="I42" t="s">
        <v>15</v>
      </c>
      <c r="J42">
        <v>1694.03</v>
      </c>
      <c r="K42">
        <v>1852.39</v>
      </c>
      <c r="L42">
        <v>322</v>
      </c>
      <c r="M42" t="s">
        <v>30</v>
      </c>
      <c r="N42" t="s">
        <v>16</v>
      </c>
    </row>
    <row r="43" spans="7:14" x14ac:dyDescent="0.3">
      <c r="G43" s="13">
        <v>45785</v>
      </c>
      <c r="H43" t="s">
        <v>26</v>
      </c>
      <c r="I43" t="s">
        <v>27</v>
      </c>
      <c r="J43">
        <v>762.37</v>
      </c>
      <c r="K43">
        <v>846.13</v>
      </c>
      <c r="L43">
        <v>256</v>
      </c>
      <c r="M43" t="s">
        <v>37</v>
      </c>
      <c r="N43" t="s">
        <v>16</v>
      </c>
    </row>
    <row r="44" spans="7:14" x14ac:dyDescent="0.3">
      <c r="G44" s="13">
        <v>45786</v>
      </c>
      <c r="H44" t="s">
        <v>33</v>
      </c>
      <c r="I44" t="s">
        <v>34</v>
      </c>
      <c r="J44">
        <v>4288.34</v>
      </c>
      <c r="K44">
        <v>4755.01</v>
      </c>
      <c r="L44">
        <v>144</v>
      </c>
      <c r="M44" t="s">
        <v>35</v>
      </c>
      <c r="N44" t="s">
        <v>16</v>
      </c>
    </row>
    <row r="45" spans="7:14" x14ac:dyDescent="0.3">
      <c r="G45" s="13">
        <v>45787</v>
      </c>
      <c r="H45" t="s">
        <v>79</v>
      </c>
      <c r="I45" t="s">
        <v>61</v>
      </c>
      <c r="J45">
        <v>4566.34</v>
      </c>
      <c r="K45">
        <v>5844.08</v>
      </c>
      <c r="L45">
        <v>250</v>
      </c>
      <c r="M45" t="s">
        <v>30</v>
      </c>
      <c r="N45" t="s">
        <v>12</v>
      </c>
    </row>
    <row r="46" spans="7:14" x14ac:dyDescent="0.3">
      <c r="G46" s="13">
        <v>45788</v>
      </c>
      <c r="H46" t="s">
        <v>105</v>
      </c>
      <c r="I46" t="s">
        <v>10</v>
      </c>
      <c r="J46">
        <v>381.29</v>
      </c>
      <c r="K46">
        <v>395.61</v>
      </c>
      <c r="L46">
        <v>158</v>
      </c>
      <c r="M46" t="s">
        <v>30</v>
      </c>
      <c r="N46" t="s">
        <v>16</v>
      </c>
    </row>
    <row r="47" spans="7:14" x14ac:dyDescent="0.3">
      <c r="G47" s="13">
        <v>45789</v>
      </c>
      <c r="H47" t="s">
        <v>45</v>
      </c>
      <c r="I47" t="s">
        <v>21</v>
      </c>
      <c r="J47">
        <v>3587.59</v>
      </c>
      <c r="K47">
        <v>4614.78</v>
      </c>
      <c r="L47">
        <v>469</v>
      </c>
      <c r="M47" t="s">
        <v>37</v>
      </c>
      <c r="N47" t="s">
        <v>18</v>
      </c>
    </row>
    <row r="48" spans="7:14" x14ac:dyDescent="0.3">
      <c r="G48" s="13">
        <v>45790</v>
      </c>
      <c r="H48" t="s">
        <v>63</v>
      </c>
      <c r="I48" t="s">
        <v>64</v>
      </c>
      <c r="J48">
        <v>1580.38</v>
      </c>
      <c r="K48">
        <v>1798.67</v>
      </c>
      <c r="L48">
        <v>498</v>
      </c>
      <c r="M48" t="s">
        <v>35</v>
      </c>
      <c r="N48" t="s">
        <v>12</v>
      </c>
    </row>
    <row r="49" spans="7:14" x14ac:dyDescent="0.3">
      <c r="G49" s="13">
        <v>45791</v>
      </c>
      <c r="H49" t="s">
        <v>69</v>
      </c>
      <c r="I49" t="s">
        <v>15</v>
      </c>
      <c r="J49">
        <v>2042.85</v>
      </c>
      <c r="K49">
        <v>2019.25</v>
      </c>
      <c r="L49">
        <v>49</v>
      </c>
      <c r="M49" t="s">
        <v>37</v>
      </c>
      <c r="N49" t="s">
        <v>18</v>
      </c>
    </row>
    <row r="50" spans="7:14" x14ac:dyDescent="0.3">
      <c r="G50" s="13">
        <v>45792</v>
      </c>
      <c r="H50" t="s">
        <v>45</v>
      </c>
      <c r="I50" t="s">
        <v>21</v>
      </c>
      <c r="J50">
        <v>3587.59</v>
      </c>
      <c r="K50">
        <v>4614.78</v>
      </c>
      <c r="L50">
        <v>469</v>
      </c>
      <c r="M50" t="s">
        <v>37</v>
      </c>
      <c r="N50" t="s">
        <v>18</v>
      </c>
    </row>
    <row r="51" spans="7:14" x14ac:dyDescent="0.3">
      <c r="G51" s="13">
        <v>45793</v>
      </c>
      <c r="H51" t="s">
        <v>76</v>
      </c>
      <c r="I51" t="s">
        <v>34</v>
      </c>
      <c r="J51">
        <v>2363.0100000000002</v>
      </c>
      <c r="L51">
        <v>446</v>
      </c>
      <c r="M51" t="s">
        <v>11</v>
      </c>
      <c r="N51" t="s">
        <v>12</v>
      </c>
    </row>
    <row r="52" spans="7:14" x14ac:dyDescent="0.3">
      <c r="G52" s="13">
        <v>45794</v>
      </c>
      <c r="H52" t="s">
        <v>20</v>
      </c>
      <c r="I52" t="s">
        <v>21</v>
      </c>
      <c r="J52">
        <v>1125.53</v>
      </c>
      <c r="K52">
        <v>1441.16</v>
      </c>
      <c r="L52">
        <v>143</v>
      </c>
      <c r="M52" t="s">
        <v>22</v>
      </c>
      <c r="N52" t="s">
        <v>18</v>
      </c>
    </row>
    <row r="53" spans="7:14" x14ac:dyDescent="0.3">
      <c r="G53" s="13">
        <v>45795</v>
      </c>
      <c r="H53" t="s">
        <v>40</v>
      </c>
      <c r="I53" t="s">
        <v>10</v>
      </c>
      <c r="J53">
        <v>4322.45</v>
      </c>
      <c r="K53">
        <v>4856.83</v>
      </c>
      <c r="L53">
        <v>171</v>
      </c>
      <c r="M53" t="s">
        <v>30</v>
      </c>
      <c r="N53" t="s">
        <v>16</v>
      </c>
    </row>
    <row r="54" spans="7:14" x14ac:dyDescent="0.3">
      <c r="G54" s="13">
        <v>45796</v>
      </c>
      <c r="H54" t="s">
        <v>47</v>
      </c>
      <c r="I54" t="s">
        <v>48</v>
      </c>
      <c r="J54">
        <v>405.13</v>
      </c>
      <c r="K54">
        <v>328.04</v>
      </c>
      <c r="L54">
        <v>226</v>
      </c>
      <c r="M54" t="s">
        <v>37</v>
      </c>
      <c r="N54" t="s">
        <v>12</v>
      </c>
    </row>
    <row r="55" spans="7:14" x14ac:dyDescent="0.3">
      <c r="G55" s="13">
        <v>45797</v>
      </c>
      <c r="H55" t="s">
        <v>55</v>
      </c>
      <c r="I55" t="s">
        <v>56</v>
      </c>
      <c r="J55">
        <v>783.74</v>
      </c>
      <c r="K55">
        <v>806.43</v>
      </c>
      <c r="L55">
        <v>44</v>
      </c>
      <c r="M55" t="s">
        <v>37</v>
      </c>
      <c r="N55" t="s">
        <v>18</v>
      </c>
    </row>
    <row r="56" spans="7:14" x14ac:dyDescent="0.3">
      <c r="G56" s="13">
        <v>45798</v>
      </c>
      <c r="H56" t="s">
        <v>69</v>
      </c>
      <c r="I56" t="s">
        <v>15</v>
      </c>
      <c r="J56">
        <v>239.01</v>
      </c>
      <c r="K56">
        <v>304.08999999999997</v>
      </c>
      <c r="L56">
        <v>185</v>
      </c>
      <c r="M56" t="s">
        <v>35</v>
      </c>
      <c r="N56" t="s">
        <v>18</v>
      </c>
    </row>
    <row r="57" spans="7:14" x14ac:dyDescent="0.3">
      <c r="G57" s="13">
        <v>45799</v>
      </c>
      <c r="H57" t="s">
        <v>88</v>
      </c>
      <c r="I57" t="s">
        <v>43</v>
      </c>
      <c r="K57">
        <v>3705.05</v>
      </c>
      <c r="L57">
        <v>361</v>
      </c>
      <c r="M57" t="s">
        <v>30</v>
      </c>
      <c r="N57" t="s">
        <v>16</v>
      </c>
    </row>
    <row r="58" spans="7:14" x14ac:dyDescent="0.3">
      <c r="G58" s="13">
        <v>45800</v>
      </c>
      <c r="H58" t="s">
        <v>55</v>
      </c>
      <c r="I58" t="s">
        <v>56</v>
      </c>
      <c r="J58">
        <v>2948.15</v>
      </c>
      <c r="K58">
        <v>3296.69</v>
      </c>
      <c r="L58">
        <v>-35</v>
      </c>
      <c r="M58" t="s">
        <v>30</v>
      </c>
      <c r="N58" t="s">
        <v>18</v>
      </c>
    </row>
    <row r="59" spans="7:14" x14ac:dyDescent="0.3">
      <c r="G59" s="13">
        <v>45801</v>
      </c>
      <c r="H59" t="s">
        <v>76</v>
      </c>
      <c r="I59" t="s">
        <v>34</v>
      </c>
      <c r="J59">
        <v>1387.16</v>
      </c>
      <c r="K59">
        <v>1069.28</v>
      </c>
      <c r="L59">
        <v>440</v>
      </c>
      <c r="M59" t="s">
        <v>30</v>
      </c>
      <c r="N59" t="s">
        <v>18</v>
      </c>
    </row>
    <row r="60" spans="7:14" x14ac:dyDescent="0.3">
      <c r="G60" s="13">
        <v>45802</v>
      </c>
      <c r="H60" t="s">
        <v>29</v>
      </c>
      <c r="I60" t="s">
        <v>15</v>
      </c>
      <c r="K60">
        <v>824.86</v>
      </c>
      <c r="L60">
        <v>207</v>
      </c>
      <c r="M60" t="s">
        <v>35</v>
      </c>
      <c r="N60" t="s">
        <v>12</v>
      </c>
    </row>
    <row r="61" spans="7:14" x14ac:dyDescent="0.3">
      <c r="G61" s="13">
        <v>45803</v>
      </c>
      <c r="H61" t="s">
        <v>33</v>
      </c>
      <c r="I61" t="s">
        <v>34</v>
      </c>
      <c r="J61">
        <v>4814.6099999999997</v>
      </c>
      <c r="K61">
        <v>3748.02</v>
      </c>
      <c r="L61">
        <v>331</v>
      </c>
      <c r="M61" t="s">
        <v>30</v>
      </c>
      <c r="N61" t="s">
        <v>12</v>
      </c>
    </row>
    <row r="62" spans="7:14" x14ac:dyDescent="0.3">
      <c r="G62" s="13">
        <v>45804</v>
      </c>
      <c r="H62" t="s">
        <v>17</v>
      </c>
      <c r="I62" t="s">
        <v>15</v>
      </c>
      <c r="J62">
        <v>249.78</v>
      </c>
      <c r="K62">
        <v>221.68</v>
      </c>
      <c r="L62">
        <v>481</v>
      </c>
      <c r="M62" t="s">
        <v>35</v>
      </c>
      <c r="N62" t="s">
        <v>18</v>
      </c>
    </row>
    <row r="63" spans="7:14" x14ac:dyDescent="0.3">
      <c r="G63" s="13">
        <v>45805</v>
      </c>
      <c r="H63" t="s">
        <v>14</v>
      </c>
      <c r="I63" t="s">
        <v>15</v>
      </c>
      <c r="J63">
        <v>3741.18</v>
      </c>
      <c r="K63">
        <v>3348.83</v>
      </c>
      <c r="L63">
        <v>437</v>
      </c>
      <c r="M63" t="s">
        <v>30</v>
      </c>
      <c r="N63" t="s">
        <v>12</v>
      </c>
    </row>
    <row r="64" spans="7:14" x14ac:dyDescent="0.3">
      <c r="G64" s="13">
        <v>45806</v>
      </c>
      <c r="H64" t="s">
        <v>29</v>
      </c>
      <c r="J64">
        <v>938.22</v>
      </c>
      <c r="K64">
        <v>805.78</v>
      </c>
      <c r="L64">
        <v>471</v>
      </c>
      <c r="M64" t="s">
        <v>30</v>
      </c>
      <c r="N64" t="s">
        <v>16</v>
      </c>
    </row>
    <row r="65" spans="7:14" x14ac:dyDescent="0.3">
      <c r="G65" s="13">
        <v>45807</v>
      </c>
      <c r="H65" t="s">
        <v>88</v>
      </c>
      <c r="I65" t="s">
        <v>43</v>
      </c>
      <c r="J65">
        <v>1276.01</v>
      </c>
      <c r="K65">
        <v>1625.14</v>
      </c>
      <c r="L65">
        <v>115</v>
      </c>
      <c r="M65" t="s">
        <v>30</v>
      </c>
      <c r="N65" t="s">
        <v>16</v>
      </c>
    </row>
    <row r="66" spans="7:14" x14ac:dyDescent="0.3">
      <c r="G66" s="13">
        <v>45808</v>
      </c>
      <c r="H66" t="s">
        <v>50</v>
      </c>
      <c r="I66" t="s">
        <v>21</v>
      </c>
      <c r="J66">
        <v>445.6</v>
      </c>
      <c r="K66">
        <v>470.55</v>
      </c>
      <c r="L66">
        <v>310</v>
      </c>
      <c r="M66" t="s">
        <v>11</v>
      </c>
      <c r="N66" t="s">
        <v>16</v>
      </c>
    </row>
    <row r="67" spans="7:14" x14ac:dyDescent="0.3">
      <c r="G67" s="13">
        <v>45809</v>
      </c>
      <c r="H67" t="s">
        <v>29</v>
      </c>
      <c r="J67">
        <v>938.22</v>
      </c>
      <c r="K67">
        <v>805.78</v>
      </c>
      <c r="L67">
        <v>471</v>
      </c>
      <c r="M67" t="s">
        <v>30</v>
      </c>
      <c r="N67" t="s">
        <v>16</v>
      </c>
    </row>
    <row r="68" spans="7:14" x14ac:dyDescent="0.3">
      <c r="G68" s="13">
        <v>45810</v>
      </c>
      <c r="H68" t="s">
        <v>29</v>
      </c>
      <c r="I68" t="s">
        <v>15</v>
      </c>
      <c r="J68">
        <v>3236.09</v>
      </c>
      <c r="K68">
        <v>3669.26</v>
      </c>
      <c r="L68">
        <v>113</v>
      </c>
      <c r="M68" t="s">
        <v>11</v>
      </c>
      <c r="N68" t="s">
        <v>18</v>
      </c>
    </row>
    <row r="69" spans="7:14" x14ac:dyDescent="0.3">
      <c r="G69" s="13">
        <v>45811</v>
      </c>
      <c r="H69" t="s">
        <v>33</v>
      </c>
      <c r="I69" t="s">
        <v>34</v>
      </c>
      <c r="J69">
        <v>1094.24</v>
      </c>
      <c r="K69">
        <v>1139.71</v>
      </c>
      <c r="L69">
        <v>426</v>
      </c>
      <c r="M69" t="s">
        <v>30</v>
      </c>
      <c r="N69" t="s">
        <v>12</v>
      </c>
    </row>
    <row r="70" spans="7:14" x14ac:dyDescent="0.3">
      <c r="G70" s="13">
        <v>45812</v>
      </c>
      <c r="H70" t="s">
        <v>17</v>
      </c>
      <c r="I70" t="s">
        <v>15</v>
      </c>
      <c r="J70">
        <v>4243.6899999999996</v>
      </c>
      <c r="K70">
        <v>4466.22</v>
      </c>
      <c r="L70">
        <v>5</v>
      </c>
      <c r="M70" t="s">
        <v>11</v>
      </c>
      <c r="N70" t="s">
        <v>12</v>
      </c>
    </row>
    <row r="71" spans="7:14" x14ac:dyDescent="0.3">
      <c r="G71" s="13">
        <v>45813</v>
      </c>
      <c r="H71" t="s">
        <v>47</v>
      </c>
      <c r="I71" t="s">
        <v>48</v>
      </c>
      <c r="K71">
        <v>732.59</v>
      </c>
      <c r="L71">
        <v>49</v>
      </c>
      <c r="M71" t="s">
        <v>35</v>
      </c>
      <c r="N71" t="s">
        <v>16</v>
      </c>
    </row>
    <row r="72" spans="7:14" x14ac:dyDescent="0.3">
      <c r="G72" s="13">
        <v>45814</v>
      </c>
      <c r="H72" t="s">
        <v>29</v>
      </c>
      <c r="I72" t="s">
        <v>15</v>
      </c>
      <c r="J72">
        <v>1954.38</v>
      </c>
      <c r="K72">
        <v>1812.39</v>
      </c>
      <c r="L72">
        <v>431</v>
      </c>
      <c r="M72" t="s">
        <v>11</v>
      </c>
      <c r="N72" t="s">
        <v>12</v>
      </c>
    </row>
    <row r="73" spans="7:14" x14ac:dyDescent="0.3">
      <c r="G73" s="13">
        <v>45815</v>
      </c>
      <c r="H73" t="s">
        <v>47</v>
      </c>
      <c r="I73" t="s">
        <v>48</v>
      </c>
      <c r="J73">
        <v>3283.93</v>
      </c>
      <c r="K73">
        <v>3569.4</v>
      </c>
      <c r="L73">
        <v>-12</v>
      </c>
      <c r="M73" t="s">
        <v>11</v>
      </c>
      <c r="N73" t="s">
        <v>16</v>
      </c>
    </row>
    <row r="74" spans="7:14" x14ac:dyDescent="0.3">
      <c r="G74" s="13">
        <v>45816</v>
      </c>
      <c r="H74" t="s">
        <v>52</v>
      </c>
      <c r="I74" t="s">
        <v>53</v>
      </c>
      <c r="J74">
        <v>1100.74</v>
      </c>
      <c r="K74">
        <v>1118.04</v>
      </c>
      <c r="L74">
        <v>370</v>
      </c>
      <c r="M74" t="s">
        <v>35</v>
      </c>
      <c r="N74" t="s">
        <v>16</v>
      </c>
    </row>
    <row r="75" spans="7:14" x14ac:dyDescent="0.3">
      <c r="G75" s="13">
        <v>45817</v>
      </c>
      <c r="H75" t="s">
        <v>20</v>
      </c>
      <c r="I75" t="s">
        <v>21</v>
      </c>
      <c r="J75">
        <v>1590.62</v>
      </c>
      <c r="K75">
        <v>1316.37</v>
      </c>
      <c r="L75">
        <v>240</v>
      </c>
      <c r="M75" t="s">
        <v>11</v>
      </c>
      <c r="N75" t="s">
        <v>12</v>
      </c>
    </row>
    <row r="76" spans="7:14" x14ac:dyDescent="0.3">
      <c r="G76" s="13">
        <v>45818</v>
      </c>
      <c r="H76" t="s">
        <v>24</v>
      </c>
      <c r="I76" t="s">
        <v>25</v>
      </c>
      <c r="J76">
        <v>3928.23</v>
      </c>
      <c r="K76">
        <v>3765.32</v>
      </c>
      <c r="L76">
        <v>396</v>
      </c>
      <c r="M76" t="s">
        <v>11</v>
      </c>
      <c r="N76" t="s">
        <v>16</v>
      </c>
    </row>
    <row r="77" spans="7:14" x14ac:dyDescent="0.3">
      <c r="G77" s="13">
        <v>45819</v>
      </c>
      <c r="H77" t="s">
        <v>20</v>
      </c>
      <c r="I77" t="s">
        <v>21</v>
      </c>
      <c r="J77">
        <v>2940.72</v>
      </c>
      <c r="K77">
        <v>2663.28</v>
      </c>
      <c r="L77">
        <v>285</v>
      </c>
      <c r="M77" t="s">
        <v>22</v>
      </c>
      <c r="N77" t="s">
        <v>18</v>
      </c>
    </row>
    <row r="78" spans="7:14" x14ac:dyDescent="0.3">
      <c r="G78" s="13">
        <v>45820</v>
      </c>
      <c r="H78" t="s">
        <v>105</v>
      </c>
      <c r="I78" t="s">
        <v>10</v>
      </c>
      <c r="J78">
        <v>608.46</v>
      </c>
      <c r="K78">
        <v>640.34</v>
      </c>
      <c r="L78">
        <v>234</v>
      </c>
      <c r="M78" t="s">
        <v>35</v>
      </c>
      <c r="N78" t="s">
        <v>12</v>
      </c>
    </row>
    <row r="79" spans="7:14" x14ac:dyDescent="0.3">
      <c r="G79" s="13">
        <v>45821</v>
      </c>
      <c r="H79" t="s">
        <v>14</v>
      </c>
      <c r="I79" t="s">
        <v>15</v>
      </c>
      <c r="J79">
        <v>666.01</v>
      </c>
      <c r="K79">
        <v>824.45</v>
      </c>
      <c r="L79">
        <v>334</v>
      </c>
      <c r="M79" t="s">
        <v>30</v>
      </c>
      <c r="N79" t="s">
        <v>16</v>
      </c>
    </row>
    <row r="80" spans="7:14" x14ac:dyDescent="0.3">
      <c r="G80" s="13">
        <v>45822</v>
      </c>
      <c r="H80" t="s">
        <v>55</v>
      </c>
      <c r="I80" t="s">
        <v>56</v>
      </c>
      <c r="J80">
        <v>4562.46</v>
      </c>
      <c r="K80">
        <v>3818.63</v>
      </c>
      <c r="L80">
        <v>221</v>
      </c>
      <c r="M80" t="s">
        <v>30</v>
      </c>
      <c r="N80" t="s">
        <v>12</v>
      </c>
    </row>
    <row r="81" spans="7:14" x14ac:dyDescent="0.3">
      <c r="G81" s="13">
        <v>45823</v>
      </c>
      <c r="H81" t="s">
        <v>73</v>
      </c>
      <c r="I81" t="s">
        <v>10</v>
      </c>
      <c r="J81">
        <v>377.56</v>
      </c>
      <c r="K81">
        <v>505.79</v>
      </c>
      <c r="L81">
        <v>33</v>
      </c>
      <c r="M81" t="s">
        <v>11</v>
      </c>
      <c r="N81" t="s">
        <v>18</v>
      </c>
    </row>
    <row r="82" spans="7:14" x14ac:dyDescent="0.3">
      <c r="G82" s="13">
        <v>45824</v>
      </c>
      <c r="H82" t="s">
        <v>9</v>
      </c>
      <c r="I82" t="s">
        <v>10</v>
      </c>
      <c r="J82">
        <v>172.64</v>
      </c>
      <c r="L82">
        <v>84</v>
      </c>
      <c r="M82" t="s">
        <v>11</v>
      </c>
      <c r="N82" t="s">
        <v>12</v>
      </c>
    </row>
    <row r="83" spans="7:14" x14ac:dyDescent="0.3">
      <c r="G83" s="13">
        <v>45825</v>
      </c>
      <c r="H83" t="s">
        <v>24</v>
      </c>
      <c r="I83" t="s">
        <v>25</v>
      </c>
      <c r="J83">
        <v>4379.1000000000004</v>
      </c>
      <c r="K83">
        <v>5447.07</v>
      </c>
      <c r="L83">
        <v>96</v>
      </c>
      <c r="M83" t="s">
        <v>35</v>
      </c>
      <c r="N83" t="s">
        <v>16</v>
      </c>
    </row>
    <row r="84" spans="7:14" x14ac:dyDescent="0.3">
      <c r="G84" s="13">
        <v>45826</v>
      </c>
      <c r="H84" t="s">
        <v>50</v>
      </c>
      <c r="I84" t="s">
        <v>21</v>
      </c>
      <c r="J84">
        <v>3950.12</v>
      </c>
      <c r="K84">
        <v>4861.3</v>
      </c>
      <c r="L84">
        <v>77</v>
      </c>
      <c r="M84" t="s">
        <v>11</v>
      </c>
      <c r="N84" t="s">
        <v>12</v>
      </c>
    </row>
    <row r="85" spans="7:14" x14ac:dyDescent="0.3">
      <c r="G85" s="13">
        <v>45827</v>
      </c>
      <c r="H85" t="s">
        <v>70</v>
      </c>
      <c r="J85">
        <v>1146.8900000000001</v>
      </c>
      <c r="K85">
        <v>1166.5999999999999</v>
      </c>
      <c r="L85">
        <v>492</v>
      </c>
      <c r="M85" t="s">
        <v>22</v>
      </c>
      <c r="N85" t="s">
        <v>12</v>
      </c>
    </row>
    <row r="86" spans="7:14" x14ac:dyDescent="0.3">
      <c r="G86" s="13">
        <v>45828</v>
      </c>
      <c r="H86" t="s">
        <v>70</v>
      </c>
      <c r="I86" t="s">
        <v>71</v>
      </c>
      <c r="J86">
        <v>456.79</v>
      </c>
      <c r="K86">
        <v>560.19000000000005</v>
      </c>
      <c r="L86">
        <v>380</v>
      </c>
      <c r="M86" t="s">
        <v>35</v>
      </c>
      <c r="N86" t="s">
        <v>18</v>
      </c>
    </row>
    <row r="87" spans="7:14" x14ac:dyDescent="0.3">
      <c r="G87" s="13">
        <v>45829</v>
      </c>
      <c r="H87" t="s">
        <v>60</v>
      </c>
      <c r="I87" t="s">
        <v>61</v>
      </c>
      <c r="J87">
        <v>3177.53</v>
      </c>
      <c r="K87">
        <v>3478.21</v>
      </c>
      <c r="L87">
        <v>201</v>
      </c>
      <c r="M87" t="s">
        <v>30</v>
      </c>
      <c r="N87" t="s">
        <v>12</v>
      </c>
    </row>
    <row r="88" spans="7:14" x14ac:dyDescent="0.3">
      <c r="G88" s="13">
        <v>45830</v>
      </c>
      <c r="H88" t="s">
        <v>105</v>
      </c>
      <c r="I88" t="s">
        <v>10</v>
      </c>
      <c r="J88">
        <v>2480.25</v>
      </c>
      <c r="K88">
        <v>2798.56</v>
      </c>
      <c r="L88">
        <v>279</v>
      </c>
      <c r="M88" t="s">
        <v>22</v>
      </c>
      <c r="N88" t="s">
        <v>12</v>
      </c>
    </row>
    <row r="89" spans="7:14" x14ac:dyDescent="0.3">
      <c r="G89" s="13">
        <v>45831</v>
      </c>
      <c r="H89" t="s">
        <v>29</v>
      </c>
      <c r="I89" t="s">
        <v>15</v>
      </c>
      <c r="J89">
        <v>821.31</v>
      </c>
      <c r="K89">
        <v>706.64</v>
      </c>
      <c r="L89">
        <v>284</v>
      </c>
      <c r="M89" t="s">
        <v>11</v>
      </c>
      <c r="N89" t="s">
        <v>12</v>
      </c>
    </row>
    <row r="90" spans="7:14" x14ac:dyDescent="0.3">
      <c r="G90" s="13">
        <v>45832</v>
      </c>
      <c r="H90" t="s">
        <v>88</v>
      </c>
      <c r="I90" t="s">
        <v>43</v>
      </c>
      <c r="J90">
        <v>1223.8599999999999</v>
      </c>
      <c r="K90">
        <v>1615.72</v>
      </c>
      <c r="L90">
        <v>184</v>
      </c>
      <c r="M90" t="s">
        <v>30</v>
      </c>
      <c r="N90" t="s">
        <v>12</v>
      </c>
    </row>
    <row r="91" spans="7:14" x14ac:dyDescent="0.3">
      <c r="G91" s="13">
        <v>45833</v>
      </c>
      <c r="H91" t="s">
        <v>79</v>
      </c>
      <c r="I91" t="s">
        <v>61</v>
      </c>
      <c r="J91">
        <v>4489.3500000000004</v>
      </c>
      <c r="K91">
        <v>4862.67</v>
      </c>
      <c r="L91">
        <v>349</v>
      </c>
      <c r="M91" t="s">
        <v>30</v>
      </c>
      <c r="N91" t="s">
        <v>16</v>
      </c>
    </row>
    <row r="92" spans="7:14" x14ac:dyDescent="0.3">
      <c r="G92" s="13">
        <v>45834</v>
      </c>
      <c r="H92" t="s">
        <v>88</v>
      </c>
      <c r="I92" t="s">
        <v>43</v>
      </c>
      <c r="J92">
        <v>3537.54</v>
      </c>
      <c r="K92">
        <v>3792.81</v>
      </c>
      <c r="L92">
        <v>253</v>
      </c>
      <c r="M92" t="s">
        <v>22</v>
      </c>
      <c r="N92" t="s">
        <v>16</v>
      </c>
    </row>
    <row r="93" spans="7:14" x14ac:dyDescent="0.3">
      <c r="G93" s="13">
        <v>45835</v>
      </c>
      <c r="H93" t="s">
        <v>79</v>
      </c>
      <c r="I93" t="s">
        <v>61</v>
      </c>
      <c r="J93">
        <v>4042.9</v>
      </c>
      <c r="K93">
        <v>3877.85</v>
      </c>
      <c r="L93">
        <v>413</v>
      </c>
      <c r="M93" t="s">
        <v>37</v>
      </c>
      <c r="N93" t="s">
        <v>18</v>
      </c>
    </row>
    <row r="94" spans="7:14" x14ac:dyDescent="0.3">
      <c r="G94" s="13">
        <v>45836</v>
      </c>
      <c r="H94" t="s">
        <v>14</v>
      </c>
      <c r="I94" t="s">
        <v>15</v>
      </c>
      <c r="J94">
        <v>1436.1</v>
      </c>
      <c r="K94">
        <v>1470.97</v>
      </c>
      <c r="L94">
        <v>465</v>
      </c>
      <c r="M94" t="s">
        <v>30</v>
      </c>
      <c r="N94" t="s">
        <v>12</v>
      </c>
    </row>
    <row r="95" spans="7:14" x14ac:dyDescent="0.3">
      <c r="G95" s="13">
        <v>45837</v>
      </c>
      <c r="H95" t="s">
        <v>79</v>
      </c>
      <c r="I95" t="s">
        <v>61</v>
      </c>
      <c r="J95">
        <v>1451.81</v>
      </c>
      <c r="K95">
        <v>1458.3</v>
      </c>
      <c r="L95">
        <v>449</v>
      </c>
      <c r="M95" t="s">
        <v>11</v>
      </c>
      <c r="N95" t="s">
        <v>18</v>
      </c>
    </row>
    <row r="96" spans="7:14" x14ac:dyDescent="0.3">
      <c r="G96" s="13">
        <v>45838</v>
      </c>
      <c r="H96" t="s">
        <v>55</v>
      </c>
      <c r="I96" t="s">
        <v>56</v>
      </c>
      <c r="J96">
        <v>4715.8100000000004</v>
      </c>
      <c r="K96">
        <v>6125.36</v>
      </c>
      <c r="L96">
        <v>442</v>
      </c>
      <c r="M96" t="s">
        <v>30</v>
      </c>
      <c r="N96" t="s">
        <v>16</v>
      </c>
    </row>
    <row r="97" spans="7:14" x14ac:dyDescent="0.3">
      <c r="G97" s="13">
        <v>45839</v>
      </c>
      <c r="H97" t="s">
        <v>63</v>
      </c>
      <c r="I97" t="s">
        <v>64</v>
      </c>
      <c r="J97">
        <v>4899.96</v>
      </c>
      <c r="K97">
        <v>5683.82</v>
      </c>
      <c r="L97">
        <v>316</v>
      </c>
      <c r="M97" t="s">
        <v>11</v>
      </c>
      <c r="N97" t="s">
        <v>12</v>
      </c>
    </row>
    <row r="98" spans="7:14" x14ac:dyDescent="0.3">
      <c r="G98" s="13">
        <v>45840</v>
      </c>
      <c r="H98" t="s">
        <v>60</v>
      </c>
      <c r="I98" t="s">
        <v>61</v>
      </c>
      <c r="J98">
        <v>4212.8100000000004</v>
      </c>
      <c r="K98">
        <v>3875.06</v>
      </c>
      <c r="L98">
        <v>36</v>
      </c>
      <c r="M98" t="s">
        <v>35</v>
      </c>
      <c r="N98" t="s">
        <v>18</v>
      </c>
    </row>
    <row r="99" spans="7:14" x14ac:dyDescent="0.3">
      <c r="G99" s="13">
        <v>45841</v>
      </c>
      <c r="H99" t="s">
        <v>52</v>
      </c>
      <c r="I99" t="s">
        <v>53</v>
      </c>
      <c r="J99">
        <v>2664.19</v>
      </c>
      <c r="K99">
        <v>3367.9</v>
      </c>
      <c r="L99">
        <v>318</v>
      </c>
      <c r="M99" t="s">
        <v>37</v>
      </c>
      <c r="N99" t="s">
        <v>18</v>
      </c>
    </row>
    <row r="100" spans="7:14" x14ac:dyDescent="0.3">
      <c r="G100" s="13">
        <v>45842</v>
      </c>
      <c r="H100" t="s">
        <v>76</v>
      </c>
      <c r="I100" t="s">
        <v>34</v>
      </c>
      <c r="J100">
        <v>1108.29</v>
      </c>
      <c r="K100">
        <v>1464.72</v>
      </c>
      <c r="L100">
        <v>401</v>
      </c>
      <c r="M100" t="s">
        <v>37</v>
      </c>
      <c r="N100" t="s">
        <v>12</v>
      </c>
    </row>
    <row r="101" spans="7:14" x14ac:dyDescent="0.3">
      <c r="G101" s="13">
        <v>45843</v>
      </c>
      <c r="H101" t="s">
        <v>76</v>
      </c>
      <c r="I101" t="s">
        <v>34</v>
      </c>
      <c r="J101">
        <v>419.68</v>
      </c>
      <c r="K101">
        <v>494.45</v>
      </c>
      <c r="L101">
        <v>176</v>
      </c>
      <c r="M101" t="s">
        <v>30</v>
      </c>
      <c r="N101" t="s">
        <v>12</v>
      </c>
    </row>
    <row r="102" spans="7:14" x14ac:dyDescent="0.3">
      <c r="G102" s="13">
        <v>45844</v>
      </c>
      <c r="H102" t="s">
        <v>60</v>
      </c>
      <c r="I102" t="s">
        <v>61</v>
      </c>
      <c r="J102">
        <v>3966.52</v>
      </c>
      <c r="K102">
        <v>5146.3599999999997</v>
      </c>
      <c r="L102">
        <v>-2</v>
      </c>
      <c r="M102" t="s">
        <v>37</v>
      </c>
      <c r="N102" t="s">
        <v>12</v>
      </c>
    </row>
    <row r="103" spans="7:14" x14ac:dyDescent="0.3">
      <c r="G103" s="13">
        <v>45845</v>
      </c>
      <c r="H103" t="s">
        <v>69</v>
      </c>
      <c r="I103" t="s">
        <v>15</v>
      </c>
      <c r="J103">
        <v>1241.8900000000001</v>
      </c>
      <c r="K103">
        <v>978.52</v>
      </c>
      <c r="L103">
        <v>238</v>
      </c>
      <c r="M103" t="s">
        <v>35</v>
      </c>
      <c r="N103" t="s">
        <v>12</v>
      </c>
    </row>
    <row r="104" spans="7:14" x14ac:dyDescent="0.3">
      <c r="G104" s="13">
        <v>45846</v>
      </c>
      <c r="H104" t="s">
        <v>66</v>
      </c>
      <c r="I104" t="s">
        <v>10</v>
      </c>
      <c r="J104">
        <v>2482.52</v>
      </c>
      <c r="K104">
        <v>3219.89</v>
      </c>
      <c r="L104">
        <v>1</v>
      </c>
      <c r="M104" t="s">
        <v>22</v>
      </c>
      <c r="N104" t="s">
        <v>18</v>
      </c>
    </row>
    <row r="105" spans="7:14" x14ac:dyDescent="0.3">
      <c r="G105" s="13">
        <v>45847</v>
      </c>
      <c r="H105" t="s">
        <v>42</v>
      </c>
      <c r="I105" t="s">
        <v>43</v>
      </c>
      <c r="J105">
        <v>1793.02</v>
      </c>
      <c r="K105">
        <v>1454.95</v>
      </c>
      <c r="L105">
        <v>441</v>
      </c>
      <c r="M105" t="s">
        <v>11</v>
      </c>
      <c r="N105" t="s">
        <v>16</v>
      </c>
    </row>
    <row r="106" spans="7:14" x14ac:dyDescent="0.3">
      <c r="G106" s="13">
        <v>45848</v>
      </c>
      <c r="H106" t="s">
        <v>55</v>
      </c>
      <c r="I106" t="s">
        <v>56</v>
      </c>
      <c r="J106">
        <v>1896.08</v>
      </c>
      <c r="K106">
        <v>2112.91</v>
      </c>
      <c r="L106">
        <v>159</v>
      </c>
      <c r="M106" t="s">
        <v>11</v>
      </c>
      <c r="N106" t="s">
        <v>12</v>
      </c>
    </row>
    <row r="107" spans="7:14" x14ac:dyDescent="0.3">
      <c r="G107" s="13">
        <v>45849</v>
      </c>
      <c r="H107" t="s">
        <v>17</v>
      </c>
      <c r="I107" t="s">
        <v>15</v>
      </c>
      <c r="J107">
        <v>1672.7</v>
      </c>
      <c r="K107">
        <v>1653.04</v>
      </c>
      <c r="L107">
        <v>455</v>
      </c>
      <c r="M107" t="s">
        <v>30</v>
      </c>
      <c r="N107" t="s">
        <v>16</v>
      </c>
    </row>
    <row r="108" spans="7:14" x14ac:dyDescent="0.3">
      <c r="G108" s="13">
        <v>45850</v>
      </c>
      <c r="H108" t="s">
        <v>55</v>
      </c>
      <c r="I108" t="s">
        <v>56</v>
      </c>
      <c r="J108">
        <v>3455.37</v>
      </c>
      <c r="K108">
        <v>3528.45</v>
      </c>
      <c r="L108">
        <v>332</v>
      </c>
      <c r="M108" t="s">
        <v>22</v>
      </c>
      <c r="N108" t="s">
        <v>18</v>
      </c>
    </row>
    <row r="109" spans="7:14" x14ac:dyDescent="0.3">
      <c r="G109" s="13">
        <v>45851</v>
      </c>
      <c r="H109" t="s">
        <v>42</v>
      </c>
      <c r="I109" t="s">
        <v>43</v>
      </c>
      <c r="J109">
        <v>1799.93</v>
      </c>
      <c r="K109">
        <v>2319.13</v>
      </c>
      <c r="L109">
        <v>43</v>
      </c>
      <c r="M109" t="s">
        <v>37</v>
      </c>
      <c r="N109" t="s">
        <v>18</v>
      </c>
    </row>
    <row r="110" spans="7:14" x14ac:dyDescent="0.3">
      <c r="G110" s="13">
        <v>45852</v>
      </c>
      <c r="H110" t="s">
        <v>105</v>
      </c>
      <c r="I110" t="s">
        <v>10</v>
      </c>
      <c r="J110">
        <v>3321.6</v>
      </c>
      <c r="K110">
        <v>3258.56</v>
      </c>
      <c r="L110">
        <v>81</v>
      </c>
      <c r="M110" t="s">
        <v>37</v>
      </c>
      <c r="N110" t="s">
        <v>18</v>
      </c>
    </row>
    <row r="111" spans="7:14" x14ac:dyDescent="0.3">
      <c r="G111" s="13">
        <v>45853</v>
      </c>
      <c r="H111" t="s">
        <v>26</v>
      </c>
      <c r="I111" t="s">
        <v>27</v>
      </c>
      <c r="J111">
        <v>2146.0100000000002</v>
      </c>
      <c r="K111">
        <v>2695.02</v>
      </c>
      <c r="L111">
        <v>448</v>
      </c>
      <c r="M111" t="s">
        <v>37</v>
      </c>
      <c r="N111" t="s">
        <v>16</v>
      </c>
    </row>
    <row r="112" spans="7:14" x14ac:dyDescent="0.3">
      <c r="G112" s="13">
        <v>45854</v>
      </c>
      <c r="H112" t="s">
        <v>17</v>
      </c>
      <c r="I112" t="s">
        <v>15</v>
      </c>
      <c r="J112">
        <v>705.59</v>
      </c>
      <c r="L112">
        <v>255</v>
      </c>
      <c r="M112" t="s">
        <v>11</v>
      </c>
      <c r="N112" t="s">
        <v>18</v>
      </c>
    </row>
    <row r="113" spans="7:14" x14ac:dyDescent="0.3">
      <c r="G113" s="13">
        <v>45855</v>
      </c>
      <c r="H113" t="s">
        <v>66</v>
      </c>
      <c r="I113" t="s">
        <v>10</v>
      </c>
      <c r="J113">
        <v>2573.73</v>
      </c>
      <c r="K113">
        <v>2175.7199999999998</v>
      </c>
      <c r="L113">
        <v>290</v>
      </c>
      <c r="M113" t="s">
        <v>11</v>
      </c>
      <c r="N113" t="s">
        <v>16</v>
      </c>
    </row>
    <row r="114" spans="7:14" x14ac:dyDescent="0.3">
      <c r="G114" s="13">
        <v>45856</v>
      </c>
      <c r="H114" t="s">
        <v>70</v>
      </c>
      <c r="I114" t="s">
        <v>71</v>
      </c>
      <c r="J114">
        <v>1561.21</v>
      </c>
      <c r="K114">
        <v>1496.92</v>
      </c>
      <c r="L114">
        <v>151</v>
      </c>
      <c r="M114" t="s">
        <v>35</v>
      </c>
      <c r="N114" t="s">
        <v>16</v>
      </c>
    </row>
    <row r="115" spans="7:14" x14ac:dyDescent="0.3">
      <c r="G115" s="13">
        <v>45857</v>
      </c>
      <c r="H115" t="s">
        <v>24</v>
      </c>
      <c r="I115" t="s">
        <v>25</v>
      </c>
      <c r="J115">
        <v>510.1</v>
      </c>
      <c r="K115">
        <v>456.58</v>
      </c>
      <c r="L115">
        <v>307</v>
      </c>
      <c r="M115" t="s">
        <v>37</v>
      </c>
      <c r="N115" t="s">
        <v>16</v>
      </c>
    </row>
    <row r="116" spans="7:14" x14ac:dyDescent="0.3">
      <c r="G116" s="13">
        <v>45858</v>
      </c>
      <c r="H116" t="s">
        <v>29</v>
      </c>
      <c r="I116" t="s">
        <v>15</v>
      </c>
      <c r="J116">
        <v>160.03</v>
      </c>
      <c r="K116">
        <v>158.57</v>
      </c>
      <c r="L116">
        <v>433</v>
      </c>
      <c r="M116" t="s">
        <v>35</v>
      </c>
      <c r="N116" t="s">
        <v>18</v>
      </c>
    </row>
    <row r="117" spans="7:14" x14ac:dyDescent="0.3">
      <c r="G117" s="13">
        <v>45859</v>
      </c>
      <c r="H117" t="s">
        <v>79</v>
      </c>
      <c r="I117" t="s">
        <v>61</v>
      </c>
      <c r="J117">
        <v>1195.77</v>
      </c>
      <c r="K117">
        <v>1537.58</v>
      </c>
      <c r="L117">
        <v>106</v>
      </c>
      <c r="M117" t="s">
        <v>11</v>
      </c>
      <c r="N117" t="s">
        <v>12</v>
      </c>
    </row>
    <row r="118" spans="7:14" x14ac:dyDescent="0.3">
      <c r="G118" s="13">
        <v>45860</v>
      </c>
      <c r="H118" t="s">
        <v>24</v>
      </c>
      <c r="I118" t="s">
        <v>25</v>
      </c>
      <c r="J118">
        <v>-922.77</v>
      </c>
      <c r="K118">
        <v>3121.1</v>
      </c>
      <c r="L118">
        <v>148</v>
      </c>
      <c r="M118" t="s">
        <v>30</v>
      </c>
      <c r="N118" t="s">
        <v>12</v>
      </c>
    </row>
    <row r="119" spans="7:14" x14ac:dyDescent="0.3">
      <c r="G119" s="13">
        <v>45861</v>
      </c>
      <c r="H119" t="s">
        <v>52</v>
      </c>
      <c r="I119" t="s">
        <v>53</v>
      </c>
      <c r="J119">
        <v>4891.4799999999996</v>
      </c>
      <c r="K119">
        <v>5163.12</v>
      </c>
      <c r="L119">
        <v>26</v>
      </c>
      <c r="M119" t="s">
        <v>35</v>
      </c>
      <c r="N119" t="s">
        <v>16</v>
      </c>
    </row>
    <row r="120" spans="7:14" x14ac:dyDescent="0.3">
      <c r="G120" s="13">
        <v>45862</v>
      </c>
      <c r="H120" t="s">
        <v>105</v>
      </c>
      <c r="I120" t="s">
        <v>10</v>
      </c>
      <c r="J120">
        <v>3584.88</v>
      </c>
      <c r="K120">
        <v>4831.21</v>
      </c>
      <c r="L120">
        <v>241</v>
      </c>
      <c r="M120" t="s">
        <v>22</v>
      </c>
      <c r="N120" t="s">
        <v>18</v>
      </c>
    </row>
    <row r="121" spans="7:14" x14ac:dyDescent="0.3">
      <c r="G121" s="13">
        <v>45863</v>
      </c>
      <c r="H121" t="s">
        <v>9</v>
      </c>
      <c r="I121" t="s">
        <v>10</v>
      </c>
      <c r="J121">
        <v>2966.38</v>
      </c>
      <c r="K121">
        <v>2566.2199999999998</v>
      </c>
      <c r="L121">
        <v>300</v>
      </c>
      <c r="M121" t="s">
        <v>22</v>
      </c>
      <c r="N121" t="s">
        <v>12</v>
      </c>
    </row>
    <row r="122" spans="7:14" x14ac:dyDescent="0.3">
      <c r="G122" s="13">
        <v>45864</v>
      </c>
      <c r="H122" t="s">
        <v>60</v>
      </c>
      <c r="I122" t="s">
        <v>61</v>
      </c>
      <c r="J122">
        <v>2545.1799999999998</v>
      </c>
      <c r="K122">
        <v>3365.46</v>
      </c>
      <c r="L122">
        <v>38</v>
      </c>
      <c r="M122" t="s">
        <v>11</v>
      </c>
      <c r="N122" t="s">
        <v>12</v>
      </c>
    </row>
    <row r="123" spans="7:14" x14ac:dyDescent="0.3">
      <c r="G123" s="13">
        <v>45865</v>
      </c>
      <c r="H123" t="s">
        <v>9</v>
      </c>
      <c r="I123" t="s">
        <v>10</v>
      </c>
      <c r="J123">
        <v>3529.45</v>
      </c>
      <c r="K123">
        <v>3628.77</v>
      </c>
      <c r="L123">
        <v>309</v>
      </c>
      <c r="M123" t="s">
        <v>35</v>
      </c>
      <c r="N123" t="s">
        <v>12</v>
      </c>
    </row>
    <row r="124" spans="7:14" x14ac:dyDescent="0.3">
      <c r="G124" s="13">
        <v>45866</v>
      </c>
      <c r="H124" t="s">
        <v>55</v>
      </c>
      <c r="I124" t="s">
        <v>56</v>
      </c>
      <c r="J124">
        <v>648.85</v>
      </c>
      <c r="K124">
        <v>795.94</v>
      </c>
      <c r="L124">
        <v>343</v>
      </c>
      <c r="M124" t="s">
        <v>35</v>
      </c>
      <c r="N124" t="s">
        <v>16</v>
      </c>
    </row>
    <row r="125" spans="7:14" x14ac:dyDescent="0.3">
      <c r="G125" s="13">
        <v>45867</v>
      </c>
      <c r="H125" t="s">
        <v>33</v>
      </c>
      <c r="I125" t="s">
        <v>34</v>
      </c>
      <c r="J125">
        <v>1937.08</v>
      </c>
      <c r="K125">
        <v>2035.38</v>
      </c>
      <c r="L125">
        <v>64</v>
      </c>
      <c r="M125" t="s">
        <v>22</v>
      </c>
      <c r="N125" t="s">
        <v>12</v>
      </c>
    </row>
    <row r="126" spans="7:14" x14ac:dyDescent="0.3">
      <c r="G126" s="13">
        <v>45868</v>
      </c>
      <c r="H126" t="s">
        <v>40</v>
      </c>
      <c r="I126" t="s">
        <v>10</v>
      </c>
      <c r="J126">
        <v>2534.6</v>
      </c>
      <c r="K126">
        <v>2070.87</v>
      </c>
      <c r="L126">
        <v>228</v>
      </c>
      <c r="M126" t="s">
        <v>11</v>
      </c>
      <c r="N126" t="s">
        <v>18</v>
      </c>
    </row>
    <row r="127" spans="7:14" x14ac:dyDescent="0.3">
      <c r="G127" s="13">
        <v>45869</v>
      </c>
      <c r="H127" t="s">
        <v>40</v>
      </c>
      <c r="I127" t="s">
        <v>10</v>
      </c>
      <c r="J127">
        <v>1662.52</v>
      </c>
      <c r="K127">
        <v>2102.35</v>
      </c>
      <c r="L127">
        <v>191</v>
      </c>
      <c r="M127" t="s">
        <v>22</v>
      </c>
      <c r="N127" t="s">
        <v>16</v>
      </c>
    </row>
    <row r="128" spans="7:14" x14ac:dyDescent="0.3">
      <c r="G128" s="13">
        <v>45870</v>
      </c>
      <c r="H128" t="s">
        <v>70</v>
      </c>
      <c r="I128" t="s">
        <v>71</v>
      </c>
      <c r="J128">
        <v>1558.32</v>
      </c>
      <c r="K128">
        <v>1819.94</v>
      </c>
      <c r="L128">
        <v>63</v>
      </c>
      <c r="M128" t="s">
        <v>22</v>
      </c>
      <c r="N128" t="s">
        <v>16</v>
      </c>
    </row>
    <row r="129" spans="7:14" x14ac:dyDescent="0.3">
      <c r="G129" s="13">
        <v>45871</v>
      </c>
      <c r="H129" t="s">
        <v>20</v>
      </c>
      <c r="I129" t="s">
        <v>21</v>
      </c>
      <c r="J129">
        <v>2965.75</v>
      </c>
      <c r="K129">
        <v>2234.0700000000002</v>
      </c>
      <c r="L129">
        <v>242</v>
      </c>
      <c r="M129" t="s">
        <v>22</v>
      </c>
      <c r="N129" t="s">
        <v>16</v>
      </c>
    </row>
    <row r="130" spans="7:14" x14ac:dyDescent="0.3">
      <c r="G130" s="13">
        <v>45872</v>
      </c>
      <c r="H130" t="s">
        <v>52</v>
      </c>
      <c r="I130" t="s">
        <v>53</v>
      </c>
      <c r="J130">
        <v>4624.42</v>
      </c>
      <c r="K130">
        <v>5097.4399999999996</v>
      </c>
      <c r="L130">
        <v>494</v>
      </c>
      <c r="M130" t="s">
        <v>37</v>
      </c>
      <c r="N130" t="s">
        <v>12</v>
      </c>
    </row>
    <row r="131" spans="7:14" x14ac:dyDescent="0.3">
      <c r="G131" s="13">
        <v>45873</v>
      </c>
      <c r="H131" t="s">
        <v>73</v>
      </c>
      <c r="I131" t="s">
        <v>10</v>
      </c>
      <c r="J131">
        <v>4479.96</v>
      </c>
      <c r="K131">
        <v>4847.9799999999996</v>
      </c>
      <c r="L131">
        <v>411</v>
      </c>
      <c r="M131" t="s">
        <v>11</v>
      </c>
      <c r="N131" t="s">
        <v>12</v>
      </c>
    </row>
    <row r="132" spans="7:14" x14ac:dyDescent="0.3">
      <c r="G132" s="13">
        <v>45874</v>
      </c>
      <c r="H132" t="s">
        <v>50</v>
      </c>
      <c r="I132" t="s">
        <v>21</v>
      </c>
      <c r="J132">
        <v>3514.24</v>
      </c>
      <c r="K132">
        <v>3539.28</v>
      </c>
      <c r="L132">
        <v>6</v>
      </c>
      <c r="M132" t="s">
        <v>22</v>
      </c>
      <c r="N132" t="s">
        <v>16</v>
      </c>
    </row>
    <row r="133" spans="7:14" x14ac:dyDescent="0.3">
      <c r="G133" s="13">
        <v>45875</v>
      </c>
      <c r="H133" t="s">
        <v>29</v>
      </c>
      <c r="I133" t="s">
        <v>15</v>
      </c>
      <c r="J133">
        <v>2584.04</v>
      </c>
      <c r="K133">
        <v>3074.71</v>
      </c>
      <c r="L133">
        <v>426</v>
      </c>
      <c r="M133" t="s">
        <v>30</v>
      </c>
      <c r="N133" t="s">
        <v>16</v>
      </c>
    </row>
  </sheetData>
  <mergeCells count="1">
    <mergeCell ref="G3:N4"/>
  </mergeCells>
  <pageMargins left="0.75" right="0.75" top="1" bottom="1" header="0.5" footer="0.5"/>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67838-7952-4FAF-B98C-ACA8DCB7A7C9}">
  <sheetPr codeName="Sheet4"/>
  <dimension ref="A1:L119"/>
  <sheetViews>
    <sheetView showGridLines="0" zoomScale="70" zoomScaleNormal="70" workbookViewId="0">
      <selection activeCell="P8" sqref="P8"/>
    </sheetView>
  </sheetViews>
  <sheetFormatPr defaultRowHeight="14.4" x14ac:dyDescent="0.3"/>
  <cols>
    <col min="1" max="1" width="27.21875" style="6" bestFit="1" customWidth="1"/>
    <col min="2" max="2" width="13.5546875" bestFit="1" customWidth="1"/>
    <col min="3" max="3" width="17.6640625" bestFit="1" customWidth="1"/>
    <col min="4" max="4" width="15" bestFit="1" customWidth="1"/>
    <col min="5" max="5" width="14.109375" bestFit="1" customWidth="1"/>
    <col min="6" max="6" width="18.44140625" bestFit="1" customWidth="1"/>
    <col min="7" max="7" width="22.33203125" bestFit="1" customWidth="1"/>
    <col min="8" max="8" width="19.109375" bestFit="1" customWidth="1"/>
    <col min="9" max="9" width="15.77734375" bestFit="1" customWidth="1"/>
    <col min="10" max="10" width="19.44140625" customWidth="1"/>
    <col min="11" max="11" width="15.77734375" bestFit="1" customWidth="1"/>
    <col min="12" max="12" width="19.5546875" bestFit="1" customWidth="1"/>
  </cols>
  <sheetData>
    <row r="1" spans="1:12" x14ac:dyDescent="0.3">
      <c r="A1" s="77" t="s">
        <v>148</v>
      </c>
      <c r="B1" s="77"/>
      <c r="C1" s="77"/>
      <c r="D1" s="77"/>
      <c r="E1" s="77"/>
      <c r="F1" s="77"/>
      <c r="G1" s="77"/>
      <c r="H1" s="77"/>
      <c r="I1" s="77"/>
      <c r="J1" s="77"/>
      <c r="K1" s="77"/>
      <c r="L1" s="77"/>
    </row>
    <row r="2" spans="1:12" x14ac:dyDescent="0.3">
      <c r="A2" s="77"/>
      <c r="B2" s="77"/>
      <c r="C2" s="77"/>
      <c r="D2" s="77"/>
      <c r="E2" s="77"/>
      <c r="F2" s="77"/>
      <c r="G2" s="77"/>
      <c r="H2" s="77"/>
      <c r="I2" s="77"/>
      <c r="J2" s="77"/>
      <c r="K2" s="77"/>
      <c r="L2" s="77"/>
    </row>
    <row r="3" spans="1:12" x14ac:dyDescent="0.3">
      <c r="A3" s="77"/>
      <c r="B3" s="77"/>
      <c r="C3" s="77"/>
      <c r="D3" s="77"/>
      <c r="E3" s="77"/>
      <c r="F3" s="77"/>
      <c r="G3" s="77"/>
      <c r="H3" s="77"/>
      <c r="I3" s="77"/>
      <c r="J3" s="77"/>
      <c r="K3" s="77"/>
      <c r="L3" s="77"/>
    </row>
    <row r="4" spans="1:12" x14ac:dyDescent="0.3">
      <c r="A4" s="5" t="s">
        <v>0</v>
      </c>
      <c r="B4" s="2" t="s">
        <v>1</v>
      </c>
      <c r="C4" s="2" t="s">
        <v>2</v>
      </c>
      <c r="D4" s="2" t="s">
        <v>3</v>
      </c>
      <c r="E4" s="2" t="s">
        <v>5</v>
      </c>
      <c r="F4" s="2" t="s">
        <v>4</v>
      </c>
      <c r="G4" s="2" t="s">
        <v>130</v>
      </c>
      <c r="H4" s="2" t="s">
        <v>131</v>
      </c>
      <c r="I4" s="2" t="s">
        <v>137</v>
      </c>
      <c r="J4" s="2" t="s">
        <v>129</v>
      </c>
      <c r="K4" s="2" t="s">
        <v>6</v>
      </c>
      <c r="L4" s="3" t="s">
        <v>7</v>
      </c>
    </row>
    <row r="5" spans="1:12" x14ac:dyDescent="0.3">
      <c r="A5" s="4" t="s">
        <v>87</v>
      </c>
      <c r="B5" s="1" t="s">
        <v>52</v>
      </c>
      <c r="C5" s="1" t="s">
        <v>53</v>
      </c>
      <c r="D5" s="1">
        <v>4624.42</v>
      </c>
      <c r="E5" s="2">
        <v>439</v>
      </c>
      <c r="F5" s="1">
        <v>5097.4399999999996</v>
      </c>
      <c r="G5" s="1">
        <f>D5*Table1[[#This Row],[Quantity]]</f>
        <v>2030120.3800000001</v>
      </c>
      <c r="H5" s="1">
        <f>Table1[[#This Row],[Current_Price]]*Table1[[#This Row],[Quantity]]</f>
        <v>2237776.1599999997</v>
      </c>
      <c r="I5" s="1">
        <f>Table1[[#This Row],[Current_Value]]-Table1[[#This Row],[Investment_Value]]</f>
        <v>207655.77999999956</v>
      </c>
      <c r="J5" s="11">
        <f t="shared" ref="J5:J36" si="0">((H5-G5)/G5)</f>
        <v>0.10228742199021693</v>
      </c>
      <c r="K5" s="1" t="s">
        <v>37</v>
      </c>
      <c r="L5" s="1" t="s">
        <v>12</v>
      </c>
    </row>
    <row r="6" spans="1:12" x14ac:dyDescent="0.3">
      <c r="A6" s="4" t="s">
        <v>107</v>
      </c>
      <c r="B6" s="1" t="s">
        <v>79</v>
      </c>
      <c r="C6" s="1" t="s">
        <v>61</v>
      </c>
      <c r="D6" s="1">
        <v>4359.53</v>
      </c>
      <c r="E6" s="1">
        <v>448</v>
      </c>
      <c r="F6" s="1">
        <v>3567.11</v>
      </c>
      <c r="G6" s="1">
        <f>D6*Table1[[#This Row],[Quantity]]</f>
        <v>1953069.44</v>
      </c>
      <c r="H6" s="1">
        <f>Table1[[#This Row],[Current_Price]]*Table1[[#This Row],[Quantity]]</f>
        <v>1598065.28</v>
      </c>
      <c r="I6" s="1">
        <f>Table1[[#This Row],[Current_Value]]-Table1[[#This Row],[Investment_Value]]</f>
        <v>-355004.15999999992</v>
      </c>
      <c r="J6" s="11">
        <f t="shared" si="0"/>
        <v>-0.18176730060350538</v>
      </c>
      <c r="K6" s="1" t="s">
        <v>37</v>
      </c>
      <c r="L6" s="1" t="s">
        <v>12</v>
      </c>
    </row>
    <row r="7" spans="1:12" x14ac:dyDescent="0.3">
      <c r="A7" s="4" t="s">
        <v>99</v>
      </c>
      <c r="B7" s="1" t="s">
        <v>60</v>
      </c>
      <c r="C7" s="1" t="s">
        <v>61</v>
      </c>
      <c r="D7" s="1">
        <v>3966.52</v>
      </c>
      <c r="E7" s="1">
        <v>487</v>
      </c>
      <c r="F7" s="1">
        <v>5146.3599999999997</v>
      </c>
      <c r="G7" s="1">
        <f>D7*Table1[[#This Row],[Quantity]]</f>
        <v>1931695.24</v>
      </c>
      <c r="H7" s="1">
        <f>Table1[[#This Row],[Current_Price]]*Table1[[#This Row],[Quantity]]</f>
        <v>2506277.3199999998</v>
      </c>
      <c r="I7" s="1">
        <f>Table1[[#This Row],[Current_Value]]-Table1[[#This Row],[Investment_Value]]</f>
        <v>574582.07999999984</v>
      </c>
      <c r="J7" s="11">
        <f t="shared" si="0"/>
        <v>0.29744965360063724</v>
      </c>
      <c r="K7" s="1" t="s">
        <v>37</v>
      </c>
      <c r="L7" s="1" t="s">
        <v>12</v>
      </c>
    </row>
    <row r="8" spans="1:12" x14ac:dyDescent="0.3">
      <c r="A8" s="4" t="s">
        <v>72</v>
      </c>
      <c r="B8" s="1" t="s">
        <v>73</v>
      </c>
      <c r="C8" s="1" t="s">
        <v>10</v>
      </c>
      <c r="D8" s="1">
        <v>4479.96</v>
      </c>
      <c r="E8" s="1">
        <v>426</v>
      </c>
      <c r="F8" s="1">
        <v>4847.9799999999996</v>
      </c>
      <c r="G8" s="1">
        <f>D8*Table1[[#This Row],[Quantity]]</f>
        <v>1908462.96</v>
      </c>
      <c r="H8" s="1">
        <f>Table1[[#This Row],[Current_Price]]*Table1[[#This Row],[Quantity]]</f>
        <v>2065239.4799999997</v>
      </c>
      <c r="I8" s="1">
        <f>Table1[[#This Row],[Current_Value]]-Table1[[#This Row],[Investment_Value]]</f>
        <v>156776.51999999979</v>
      </c>
      <c r="J8" s="11">
        <f t="shared" si="0"/>
        <v>8.2148054893347158E-2</v>
      </c>
      <c r="K8" s="1" t="s">
        <v>11</v>
      </c>
      <c r="L8" s="1" t="s">
        <v>12</v>
      </c>
    </row>
    <row r="9" spans="1:12" x14ac:dyDescent="0.3">
      <c r="A9" s="4" t="s">
        <v>8</v>
      </c>
      <c r="B9" s="1" t="s">
        <v>24</v>
      </c>
      <c r="C9" s="1" t="s">
        <v>25</v>
      </c>
      <c r="D9" s="1">
        <v>4379.1000000000004</v>
      </c>
      <c r="E9" s="1">
        <v>426</v>
      </c>
      <c r="F9" s="1">
        <v>5447.07</v>
      </c>
      <c r="G9" s="1">
        <f>D9*Table1[[#This Row],[Quantity]]</f>
        <v>1865496.6</v>
      </c>
      <c r="H9" s="1">
        <f>Table1[[#This Row],[Current_Price]]*Table1[[#This Row],[Quantity]]</f>
        <v>2320451.8199999998</v>
      </c>
      <c r="I9" s="1">
        <f>Table1[[#This Row],[Current_Value]]-Table1[[#This Row],[Investment_Value]]</f>
        <v>454955.21999999974</v>
      </c>
      <c r="J9" s="11">
        <f t="shared" si="0"/>
        <v>0.24387887922175774</v>
      </c>
      <c r="K9" s="1" t="s">
        <v>35</v>
      </c>
      <c r="L9" s="1" t="s">
        <v>16</v>
      </c>
    </row>
    <row r="10" spans="1:12" x14ac:dyDescent="0.3">
      <c r="A10" s="4" t="s">
        <v>116</v>
      </c>
      <c r="B10" s="1" t="s">
        <v>88</v>
      </c>
      <c r="C10" s="1" t="s">
        <v>43</v>
      </c>
      <c r="D10" s="1">
        <v>4228.54</v>
      </c>
      <c r="E10" s="1">
        <v>431</v>
      </c>
      <c r="F10" s="1">
        <v>5491.95</v>
      </c>
      <c r="G10" s="1">
        <f>D10*Table1[[#This Row],[Quantity]]</f>
        <v>1822500.74</v>
      </c>
      <c r="H10" s="1">
        <f>Table1[[#This Row],[Current_Price]]*Table1[[#This Row],[Quantity]]</f>
        <v>2367030.4499999997</v>
      </c>
      <c r="I10" s="1">
        <f>Table1[[#This Row],[Current_Value]]-Table1[[#This Row],[Investment_Value]]</f>
        <v>544529.70999999973</v>
      </c>
      <c r="J10" s="11">
        <f t="shared" si="0"/>
        <v>0.29878161256603919</v>
      </c>
      <c r="K10" s="1" t="s">
        <v>35</v>
      </c>
      <c r="L10" s="1" t="s">
        <v>12</v>
      </c>
    </row>
    <row r="11" spans="1:12" x14ac:dyDescent="0.3">
      <c r="A11" s="4" t="s">
        <v>77</v>
      </c>
      <c r="B11" s="1" t="s">
        <v>105</v>
      </c>
      <c r="C11" s="1" t="s">
        <v>10</v>
      </c>
      <c r="D11" s="1">
        <v>4043.71</v>
      </c>
      <c r="E11" s="1">
        <v>423</v>
      </c>
      <c r="F11" s="1">
        <v>3760.04</v>
      </c>
      <c r="G11" s="1">
        <f>D11*Table1[[#This Row],[Quantity]]</f>
        <v>1710489.33</v>
      </c>
      <c r="H11" s="1">
        <f>Table1[[#This Row],[Current_Price]]*Table1[[#This Row],[Quantity]]</f>
        <v>1590496.92</v>
      </c>
      <c r="I11" s="1">
        <f>Table1[[#This Row],[Current_Value]]-Table1[[#This Row],[Investment_Value]]</f>
        <v>-119992.41000000015</v>
      </c>
      <c r="J11" s="11">
        <f t="shared" si="0"/>
        <v>-7.0150925758771118E-2</v>
      </c>
      <c r="K11" s="1" t="s">
        <v>37</v>
      </c>
      <c r="L11" s="1" t="s">
        <v>18</v>
      </c>
    </row>
    <row r="12" spans="1:12" x14ac:dyDescent="0.3">
      <c r="A12" s="4" t="s">
        <v>126</v>
      </c>
      <c r="B12" s="1" t="s">
        <v>105</v>
      </c>
      <c r="C12" s="1" t="s">
        <v>10</v>
      </c>
      <c r="D12" s="1">
        <v>3321.6</v>
      </c>
      <c r="E12" s="1">
        <v>492</v>
      </c>
      <c r="F12" s="1">
        <v>3258.56</v>
      </c>
      <c r="G12" s="1">
        <f>D12*Table1[[#This Row],[Quantity]]</f>
        <v>1634227.2</v>
      </c>
      <c r="H12" s="1">
        <f>Table1[[#This Row],[Current_Price]]*Table1[[#This Row],[Quantity]]</f>
        <v>1603211.52</v>
      </c>
      <c r="I12" s="1">
        <f>Table1[[#This Row],[Current_Value]]-Table1[[#This Row],[Investment_Value]]</f>
        <v>-31015.679999999935</v>
      </c>
      <c r="J12" s="11">
        <f t="shared" si="0"/>
        <v>-1.8978805394990327E-2</v>
      </c>
      <c r="K12" s="1" t="s">
        <v>37</v>
      </c>
      <c r="L12" s="1" t="s">
        <v>18</v>
      </c>
    </row>
    <row r="13" spans="1:12" x14ac:dyDescent="0.3">
      <c r="A13" s="4" t="s">
        <v>32</v>
      </c>
      <c r="B13" s="1" t="s">
        <v>79</v>
      </c>
      <c r="C13" s="1" t="s">
        <v>61</v>
      </c>
      <c r="D13" s="1">
        <v>4566.34</v>
      </c>
      <c r="E13" s="1">
        <v>346</v>
      </c>
      <c r="F13" s="1">
        <v>5844.08</v>
      </c>
      <c r="G13" s="1">
        <f>D13*Table1[[#This Row],[Quantity]]</f>
        <v>1579953.6400000001</v>
      </c>
      <c r="H13" s="1">
        <f>Table1[[#This Row],[Current_Price]]*Table1[[#This Row],[Quantity]]</f>
        <v>2022051.68</v>
      </c>
      <c r="I13" s="1">
        <f>Table1[[#This Row],[Current_Value]]-Table1[[#This Row],[Investment_Value]]</f>
        <v>442098.0399999998</v>
      </c>
      <c r="J13" s="11">
        <f t="shared" si="0"/>
        <v>0.27981709640543617</v>
      </c>
      <c r="K13" s="1" t="s">
        <v>30</v>
      </c>
      <c r="L13" s="1" t="s">
        <v>12</v>
      </c>
    </row>
    <row r="14" spans="1:12" x14ac:dyDescent="0.3">
      <c r="A14" s="4" t="s">
        <v>78</v>
      </c>
      <c r="B14" s="1" t="s">
        <v>55</v>
      </c>
      <c r="C14" s="1" t="s">
        <v>56</v>
      </c>
      <c r="D14" s="1">
        <v>4715.8100000000004</v>
      </c>
      <c r="E14" s="1">
        <v>305</v>
      </c>
      <c r="F14" s="1">
        <v>6125.36</v>
      </c>
      <c r="G14" s="1">
        <f>D14*Table1[[#This Row],[Quantity]]</f>
        <v>1438322.05</v>
      </c>
      <c r="H14" s="1">
        <f>Table1[[#This Row],[Current_Price]]*Table1[[#This Row],[Quantity]]</f>
        <v>1868234.7999999998</v>
      </c>
      <c r="I14" s="1">
        <f>Table1[[#This Row],[Current_Value]]-Table1[[#This Row],[Investment_Value]]</f>
        <v>429912.74999999977</v>
      </c>
      <c r="J14" s="11">
        <f t="shared" si="0"/>
        <v>0.29889881059669476</v>
      </c>
      <c r="K14" s="1" t="s">
        <v>30</v>
      </c>
      <c r="L14" s="1" t="s">
        <v>16</v>
      </c>
    </row>
    <row r="15" spans="1:12" x14ac:dyDescent="0.3">
      <c r="A15" s="4" t="s">
        <v>124</v>
      </c>
      <c r="B15" s="1" t="s">
        <v>60</v>
      </c>
      <c r="C15" s="1" t="s">
        <v>61</v>
      </c>
      <c r="D15" s="1">
        <v>3232.11</v>
      </c>
      <c r="E15" s="1">
        <v>442</v>
      </c>
      <c r="F15" s="1">
        <v>3403.18</v>
      </c>
      <c r="G15" s="1">
        <f>D15*Table1[[#This Row],[Quantity]]</f>
        <v>1428592.62</v>
      </c>
      <c r="H15" s="1">
        <f>Table1[[#This Row],[Current_Price]]*Table1[[#This Row],[Quantity]]</f>
        <v>1504205.5599999998</v>
      </c>
      <c r="I15" s="1">
        <f>Table1[[#This Row],[Current_Value]]-Table1[[#This Row],[Investment_Value]]</f>
        <v>75612.939999999711</v>
      </c>
      <c r="J15" s="11">
        <f t="shared" si="0"/>
        <v>5.2928272862000157E-2</v>
      </c>
      <c r="K15" s="1" t="s">
        <v>11</v>
      </c>
      <c r="L15" s="1" t="s">
        <v>12</v>
      </c>
    </row>
    <row r="16" spans="1:12" x14ac:dyDescent="0.3">
      <c r="A16" s="4" t="s">
        <v>62</v>
      </c>
      <c r="B16" s="1" t="s">
        <v>63</v>
      </c>
      <c r="C16" s="1" t="s">
        <v>64</v>
      </c>
      <c r="D16" s="1">
        <v>4899.96</v>
      </c>
      <c r="E16" s="1">
        <v>290</v>
      </c>
      <c r="F16" s="1">
        <v>5683.82</v>
      </c>
      <c r="G16" s="1">
        <f>D16*Table1[[#This Row],[Quantity]]</f>
        <v>1420988.4</v>
      </c>
      <c r="H16" s="1">
        <f>Table1[[#This Row],[Current_Price]]*Table1[[#This Row],[Quantity]]</f>
        <v>1648307.7999999998</v>
      </c>
      <c r="I16" s="1">
        <f>Table1[[#This Row],[Current_Value]]-Table1[[#This Row],[Investment_Value]]</f>
        <v>227319.39999999991</v>
      </c>
      <c r="J16" s="11">
        <f t="shared" si="0"/>
        <v>0.15997273447130175</v>
      </c>
      <c r="K16" s="1" t="s">
        <v>11</v>
      </c>
      <c r="L16" s="1" t="s">
        <v>12</v>
      </c>
    </row>
    <row r="17" spans="1:12" x14ac:dyDescent="0.3">
      <c r="A17" s="4" t="s">
        <v>41</v>
      </c>
      <c r="B17" s="1" t="s">
        <v>42</v>
      </c>
      <c r="C17" s="1" t="s">
        <v>43</v>
      </c>
      <c r="D17" s="1">
        <v>2636.01</v>
      </c>
      <c r="E17" s="1">
        <v>469</v>
      </c>
      <c r="F17" s="1">
        <v>2967.4</v>
      </c>
      <c r="G17" s="1">
        <f>D17*Table1[[#This Row],[Quantity]]</f>
        <v>1236288.6900000002</v>
      </c>
      <c r="H17" s="1">
        <f>Table1[[#This Row],[Current_Price]]*Table1[[#This Row],[Quantity]]</f>
        <v>1391710.6</v>
      </c>
      <c r="I17" s="1">
        <f>Table1[[#This Row],[Current_Value]]-Table1[[#This Row],[Investment_Value]]</f>
        <v>155421.90999999992</v>
      </c>
      <c r="J17" s="11">
        <f t="shared" si="0"/>
        <v>0.12571651852610566</v>
      </c>
      <c r="K17" s="1" t="s">
        <v>37</v>
      </c>
      <c r="L17" s="1" t="s">
        <v>12</v>
      </c>
    </row>
    <row r="18" spans="1:12" x14ac:dyDescent="0.3">
      <c r="A18" s="4" t="s">
        <v>104</v>
      </c>
      <c r="B18" s="1" t="s">
        <v>105</v>
      </c>
      <c r="C18" s="1" t="s">
        <v>10</v>
      </c>
      <c r="D18" s="1">
        <v>2480.25</v>
      </c>
      <c r="E18" s="1">
        <v>494</v>
      </c>
      <c r="F18" s="1">
        <v>2798.56</v>
      </c>
      <c r="G18" s="1">
        <f>D18*Table1[[#This Row],[Quantity]]</f>
        <v>1225243.5</v>
      </c>
      <c r="H18" s="1">
        <f>Table1[[#This Row],[Current_Price]]*Table1[[#This Row],[Quantity]]</f>
        <v>1382488.64</v>
      </c>
      <c r="I18" s="1">
        <f>Table1[[#This Row],[Current_Value]]-Table1[[#This Row],[Investment_Value]]</f>
        <v>157245.1399999999</v>
      </c>
      <c r="J18" s="11">
        <f t="shared" si="0"/>
        <v>0.1283378691664146</v>
      </c>
      <c r="K18" s="1" t="s">
        <v>22</v>
      </c>
      <c r="L18" s="1" t="s">
        <v>12</v>
      </c>
    </row>
    <row r="19" spans="1:12" x14ac:dyDescent="0.3">
      <c r="A19" s="4" t="s">
        <v>28</v>
      </c>
      <c r="B19" s="1" t="s">
        <v>29</v>
      </c>
      <c r="C19" s="1" t="s">
        <v>15</v>
      </c>
      <c r="D19" s="1">
        <v>2584.04</v>
      </c>
      <c r="E19" s="1">
        <v>471</v>
      </c>
      <c r="F19" s="1">
        <v>3074.71</v>
      </c>
      <c r="G19" s="1">
        <f>D19*Table1[[#This Row],[Quantity]]</f>
        <v>1217082.8400000001</v>
      </c>
      <c r="H19" s="1">
        <f>Table1[[#This Row],[Current_Price]]*Table1[[#This Row],[Quantity]]</f>
        <v>1448188.41</v>
      </c>
      <c r="I19" s="1">
        <f>Table1[[#This Row],[Current_Value]]-Table1[[#This Row],[Investment_Value]]</f>
        <v>231105.56999999983</v>
      </c>
      <c r="J19" s="11">
        <f t="shared" si="0"/>
        <v>0.18988483150415614</v>
      </c>
      <c r="K19" s="1" t="s">
        <v>30</v>
      </c>
      <c r="L19" s="1" t="s">
        <v>16</v>
      </c>
    </row>
    <row r="20" spans="1:12" x14ac:dyDescent="0.3">
      <c r="A20" s="4" t="s">
        <v>23</v>
      </c>
      <c r="B20" s="1" t="s">
        <v>20</v>
      </c>
      <c r="C20" s="1" t="s">
        <v>21</v>
      </c>
      <c r="D20" s="1">
        <v>2940.72</v>
      </c>
      <c r="E20" s="1">
        <v>413</v>
      </c>
      <c r="F20" s="1">
        <v>2663.28</v>
      </c>
      <c r="G20" s="1">
        <f>D20*Table1[[#This Row],[Quantity]]</f>
        <v>1214517.3599999999</v>
      </c>
      <c r="H20" s="1">
        <f>Table1[[#This Row],[Current_Price]]*Table1[[#This Row],[Quantity]]</f>
        <v>1099934.6400000001</v>
      </c>
      <c r="I20" s="1">
        <f>Table1[[#This Row],[Current_Value]]-Table1[[#This Row],[Investment_Value]]</f>
        <v>-114582.71999999974</v>
      </c>
      <c r="J20" s="11">
        <f t="shared" si="0"/>
        <v>-9.4344242226393329E-2</v>
      </c>
      <c r="K20" s="1" t="s">
        <v>22</v>
      </c>
      <c r="L20" s="1" t="s">
        <v>18</v>
      </c>
    </row>
    <row r="21" spans="1:12" x14ac:dyDescent="0.3">
      <c r="A21" s="4" t="s">
        <v>85</v>
      </c>
      <c r="B21" s="1" t="s">
        <v>52</v>
      </c>
      <c r="C21" s="1" t="s">
        <v>53</v>
      </c>
      <c r="D21" s="1">
        <v>4891.4799999999996</v>
      </c>
      <c r="E21" s="1">
        <v>242</v>
      </c>
      <c r="F21" s="1">
        <v>5163.12</v>
      </c>
      <c r="G21" s="1">
        <f>D21*Table1[[#This Row],[Quantity]]</f>
        <v>1183738.1599999999</v>
      </c>
      <c r="H21" s="1">
        <f>Table1[[#This Row],[Current_Price]]*Table1[[#This Row],[Quantity]]</f>
        <v>1249475.04</v>
      </c>
      <c r="I21" s="1">
        <f>Table1[[#This Row],[Current_Value]]-Table1[[#This Row],[Investment_Value]]</f>
        <v>65736.880000000121</v>
      </c>
      <c r="J21" s="11">
        <f t="shared" si="0"/>
        <v>5.5533294626575296E-2</v>
      </c>
      <c r="K21" s="1" t="s">
        <v>35</v>
      </c>
      <c r="L21" s="1" t="s">
        <v>16</v>
      </c>
    </row>
    <row r="22" spans="1:12" x14ac:dyDescent="0.3">
      <c r="A22" s="4" t="s">
        <v>57</v>
      </c>
      <c r="B22" s="1" t="s">
        <v>9</v>
      </c>
      <c r="C22" s="1" t="s">
        <v>10</v>
      </c>
      <c r="D22" s="1">
        <v>3529.45</v>
      </c>
      <c r="E22" s="1">
        <v>331</v>
      </c>
      <c r="F22" s="1">
        <v>3628.77</v>
      </c>
      <c r="G22" s="1">
        <f>D22*Table1[[#This Row],[Quantity]]</f>
        <v>1168247.95</v>
      </c>
      <c r="H22" s="1">
        <f>Table1[[#This Row],[Current_Price]]*Table1[[#This Row],[Quantity]]</f>
        <v>1201122.8699999999</v>
      </c>
      <c r="I22" s="1">
        <f>Table1[[#This Row],[Current_Value]]-Table1[[#This Row],[Investment_Value]]</f>
        <v>32874.919999999925</v>
      </c>
      <c r="J22" s="11">
        <f t="shared" si="0"/>
        <v>2.8140361812746966E-2</v>
      </c>
      <c r="K22" s="1" t="s">
        <v>35</v>
      </c>
      <c r="L22" s="1" t="s">
        <v>12</v>
      </c>
    </row>
    <row r="23" spans="1:12" x14ac:dyDescent="0.3">
      <c r="A23" s="4" t="s">
        <v>72</v>
      </c>
      <c r="B23" s="1" t="s">
        <v>50</v>
      </c>
      <c r="C23" s="1" t="s">
        <v>21</v>
      </c>
      <c r="D23" s="1">
        <v>3514.24</v>
      </c>
      <c r="E23" s="1">
        <v>322</v>
      </c>
      <c r="F23" s="1">
        <v>3539.28</v>
      </c>
      <c r="G23" s="1">
        <f>D23*Table1[[#This Row],[Quantity]]</f>
        <v>1131585.28</v>
      </c>
      <c r="H23" s="1">
        <f>Table1[[#This Row],[Current_Price]]*Table1[[#This Row],[Quantity]]</f>
        <v>1139648.1600000001</v>
      </c>
      <c r="I23" s="1">
        <f>Table1[[#This Row],[Current_Value]]-Table1[[#This Row],[Investment_Value]]</f>
        <v>8062.8800000001211</v>
      </c>
      <c r="J23" s="11">
        <f t="shared" si="0"/>
        <v>7.1252959388090672E-3</v>
      </c>
      <c r="K23" s="1" t="s">
        <v>22</v>
      </c>
      <c r="L23" s="1" t="s">
        <v>16</v>
      </c>
    </row>
    <row r="24" spans="1:12" x14ac:dyDescent="0.3">
      <c r="A24" s="4" t="s">
        <v>65</v>
      </c>
      <c r="B24" s="1" t="s">
        <v>66</v>
      </c>
      <c r="C24" s="1" t="s">
        <v>10</v>
      </c>
      <c r="D24" s="1">
        <v>2573.73</v>
      </c>
      <c r="E24" s="1">
        <v>433</v>
      </c>
      <c r="F24" s="1">
        <v>2175.7199999999998</v>
      </c>
      <c r="G24" s="1">
        <f>D24*Table1[[#This Row],[Quantity]]</f>
        <v>1114425.0900000001</v>
      </c>
      <c r="H24" s="1">
        <f>Table1[[#This Row],[Current_Price]]*Table1[[#This Row],[Quantity]]</f>
        <v>942086.75999999989</v>
      </c>
      <c r="I24" s="1">
        <f>Table1[[#This Row],[Current_Value]]-Table1[[#This Row],[Investment_Value]]</f>
        <v>-172338.33000000019</v>
      </c>
      <c r="J24" s="11">
        <f t="shared" si="0"/>
        <v>-0.15464326094811826</v>
      </c>
      <c r="K24" s="1" t="s">
        <v>11</v>
      </c>
      <c r="L24" s="1" t="s">
        <v>16</v>
      </c>
    </row>
    <row r="25" spans="1:12" x14ac:dyDescent="0.3">
      <c r="A25" s="4" t="s">
        <v>13</v>
      </c>
      <c r="B25" s="1" t="s">
        <v>26</v>
      </c>
      <c r="C25" s="1" t="s">
        <v>27</v>
      </c>
      <c r="D25" s="1">
        <v>2607.8000000000002</v>
      </c>
      <c r="E25" s="1">
        <v>426</v>
      </c>
      <c r="F25" s="1">
        <v>2024.87</v>
      </c>
      <c r="G25" s="1">
        <f>D25*Table1[[#This Row],[Quantity]]</f>
        <v>1110922.8</v>
      </c>
      <c r="H25" s="1">
        <f>Table1[[#This Row],[Current_Price]]*Table1[[#This Row],[Quantity]]</f>
        <v>862594.62</v>
      </c>
      <c r="I25" s="1">
        <f>Table1[[#This Row],[Current_Value]]-Table1[[#This Row],[Investment_Value]]</f>
        <v>-248328.18000000005</v>
      </c>
      <c r="J25" s="11">
        <f t="shared" si="0"/>
        <v>-0.22353324641460237</v>
      </c>
      <c r="K25" s="1" t="s">
        <v>11</v>
      </c>
      <c r="L25" s="1" t="s">
        <v>18</v>
      </c>
    </row>
    <row r="26" spans="1:12" x14ac:dyDescent="0.3">
      <c r="A26" s="4" t="s">
        <v>103</v>
      </c>
      <c r="B26" s="1" t="s">
        <v>50</v>
      </c>
      <c r="C26" s="1" t="s">
        <v>21</v>
      </c>
      <c r="D26" s="1">
        <v>3950.12</v>
      </c>
      <c r="E26" s="1">
        <v>279</v>
      </c>
      <c r="F26" s="1">
        <v>4861.3</v>
      </c>
      <c r="G26" s="1">
        <f>D26*Table1[[#This Row],[Quantity]]</f>
        <v>1102083.48</v>
      </c>
      <c r="H26" s="1">
        <f>Table1[[#This Row],[Current_Price]]*Table1[[#This Row],[Quantity]]</f>
        <v>1356302.7</v>
      </c>
      <c r="I26" s="1">
        <f>Table1[[#This Row],[Current_Value]]-Table1[[#This Row],[Investment_Value]]</f>
        <v>254219.21999999997</v>
      </c>
      <c r="J26" s="11">
        <f t="shared" si="0"/>
        <v>0.23067147327169804</v>
      </c>
      <c r="K26" s="1" t="s">
        <v>11</v>
      </c>
      <c r="L26" s="1" t="s">
        <v>12</v>
      </c>
    </row>
    <row r="27" spans="1:12" x14ac:dyDescent="0.3">
      <c r="A27" s="4" t="s">
        <v>97</v>
      </c>
      <c r="B27" s="1" t="s">
        <v>79</v>
      </c>
      <c r="C27" s="1" t="s">
        <v>61</v>
      </c>
      <c r="D27" s="1">
        <v>4489.3500000000004</v>
      </c>
      <c r="E27" s="1">
        <v>238</v>
      </c>
      <c r="F27" s="1">
        <v>4862.67</v>
      </c>
      <c r="G27" s="1">
        <f>D27*Table1[[#This Row],[Quantity]]</f>
        <v>1068465.3</v>
      </c>
      <c r="H27" s="1">
        <f>Table1[[#This Row],[Current_Price]]*Table1[[#This Row],[Quantity]]</f>
        <v>1157315.46</v>
      </c>
      <c r="I27" s="1">
        <f>Table1[[#This Row],[Current_Value]]-Table1[[#This Row],[Investment_Value]]</f>
        <v>88850.159999999916</v>
      </c>
      <c r="J27" s="11">
        <f t="shared" si="0"/>
        <v>8.3156804437167886E-2</v>
      </c>
      <c r="K27" s="1" t="s">
        <v>30</v>
      </c>
      <c r="L27" s="1" t="s">
        <v>16</v>
      </c>
    </row>
    <row r="28" spans="1:12" x14ac:dyDescent="0.3">
      <c r="A28" s="4" t="s">
        <v>96</v>
      </c>
      <c r="B28" s="1" t="s">
        <v>26</v>
      </c>
      <c r="C28" s="1" t="s">
        <v>27</v>
      </c>
      <c r="D28" s="1">
        <v>3002.51</v>
      </c>
      <c r="E28" s="1">
        <v>349</v>
      </c>
      <c r="F28" s="1">
        <v>3123.2</v>
      </c>
      <c r="G28" s="1">
        <f>D28*Table1[[#This Row],[Quantity]]</f>
        <v>1047875.9900000001</v>
      </c>
      <c r="H28" s="1">
        <f>Table1[[#This Row],[Current_Price]]*Table1[[#This Row],[Quantity]]</f>
        <v>1089996.8</v>
      </c>
      <c r="I28" s="1">
        <f>Table1[[#This Row],[Current_Value]]-Table1[[#This Row],[Investment_Value]]</f>
        <v>42120.809999999939</v>
      </c>
      <c r="J28" s="11">
        <f t="shared" si="0"/>
        <v>4.019636903790489E-2</v>
      </c>
      <c r="K28" s="1" t="s">
        <v>22</v>
      </c>
      <c r="L28" s="1" t="s">
        <v>18</v>
      </c>
    </row>
    <row r="29" spans="1:12" x14ac:dyDescent="0.3">
      <c r="A29" s="4" t="s">
        <v>91</v>
      </c>
      <c r="B29" s="1" t="s">
        <v>29</v>
      </c>
      <c r="C29" s="1" t="s">
        <v>15</v>
      </c>
      <c r="D29" s="1">
        <v>2216.7600000000002</v>
      </c>
      <c r="E29" s="1">
        <v>455</v>
      </c>
      <c r="F29" s="1">
        <v>2076.37</v>
      </c>
      <c r="G29" s="1">
        <f>D29*Table1[[#This Row],[Quantity]]</f>
        <v>1008625.8</v>
      </c>
      <c r="H29" s="1">
        <f>Table1[[#This Row],[Current_Price]]*Table1[[#This Row],[Quantity]]</f>
        <v>944748.35</v>
      </c>
      <c r="I29" s="1">
        <f>Table1[[#This Row],[Current_Value]]-Table1[[#This Row],[Investment_Value]]</f>
        <v>-63877.45000000007</v>
      </c>
      <c r="J29" s="11">
        <f t="shared" si="0"/>
        <v>-6.3331168010971037E-2</v>
      </c>
      <c r="K29" s="1" t="s">
        <v>30</v>
      </c>
      <c r="L29" s="1" t="s">
        <v>12</v>
      </c>
    </row>
    <row r="30" spans="1:12" x14ac:dyDescent="0.3">
      <c r="A30" s="4" t="s">
        <v>59</v>
      </c>
      <c r="B30" s="1" t="s">
        <v>60</v>
      </c>
      <c r="C30" s="1" t="s">
        <v>61</v>
      </c>
      <c r="D30" s="1">
        <v>3177.53</v>
      </c>
      <c r="E30" s="1">
        <v>316</v>
      </c>
      <c r="F30" s="1">
        <v>3478.21</v>
      </c>
      <c r="G30" s="1">
        <f>D30*Table1[[#This Row],[Quantity]]</f>
        <v>1004099.4800000001</v>
      </c>
      <c r="H30" s="1">
        <f>Table1[[#This Row],[Current_Price]]*Table1[[#This Row],[Quantity]]</f>
        <v>1099114.3600000001</v>
      </c>
      <c r="I30" s="1">
        <f>Table1[[#This Row],[Current_Value]]-Table1[[#This Row],[Investment_Value]]</f>
        <v>95014.88</v>
      </c>
      <c r="J30" s="11">
        <f t="shared" si="0"/>
        <v>9.4626958675449166E-2</v>
      </c>
      <c r="K30" s="1" t="s">
        <v>30</v>
      </c>
      <c r="L30" s="1" t="s">
        <v>12</v>
      </c>
    </row>
    <row r="31" spans="1:12" x14ac:dyDescent="0.3">
      <c r="A31" s="4" t="s">
        <v>117</v>
      </c>
      <c r="B31" s="1" t="s">
        <v>63</v>
      </c>
      <c r="C31" s="1" t="s">
        <v>64</v>
      </c>
      <c r="D31" s="1">
        <v>3117.21</v>
      </c>
      <c r="E31" s="1">
        <v>318</v>
      </c>
      <c r="F31" s="1">
        <v>2734.14</v>
      </c>
      <c r="G31" s="1">
        <f>D31*Table1[[#This Row],[Quantity]]</f>
        <v>991272.78</v>
      </c>
      <c r="H31" s="1">
        <f>Table1[[#This Row],[Current_Price]]*Table1[[#This Row],[Quantity]]</f>
        <v>869456.5199999999</v>
      </c>
      <c r="I31" s="1">
        <f>Table1[[#This Row],[Current_Value]]-Table1[[#This Row],[Investment_Value]]</f>
        <v>-121816.26000000013</v>
      </c>
      <c r="J31" s="11">
        <f t="shared" si="0"/>
        <v>-0.12288873704370266</v>
      </c>
      <c r="K31" s="1" t="s">
        <v>11</v>
      </c>
      <c r="L31" s="1" t="s">
        <v>18</v>
      </c>
    </row>
    <row r="32" spans="1:12" x14ac:dyDescent="0.3">
      <c r="A32" s="4" t="s">
        <v>58</v>
      </c>
      <c r="B32" s="1" t="s">
        <v>33</v>
      </c>
      <c r="C32" s="1" t="s">
        <v>34</v>
      </c>
      <c r="D32" s="1">
        <v>4814.6099999999997</v>
      </c>
      <c r="E32" s="1">
        <v>201</v>
      </c>
      <c r="F32" s="1">
        <v>3748.02</v>
      </c>
      <c r="G32" s="1">
        <f>D32*Table1[[#This Row],[Quantity]]</f>
        <v>967736.61</v>
      </c>
      <c r="H32" s="1">
        <f>Table1[[#This Row],[Current_Price]]*Table1[[#This Row],[Quantity]]</f>
        <v>753352.02</v>
      </c>
      <c r="I32" s="1">
        <f>Table1[[#This Row],[Current_Value]]-Table1[[#This Row],[Investment_Value]]</f>
        <v>-214384.58999999997</v>
      </c>
      <c r="J32" s="11">
        <f t="shared" si="0"/>
        <v>-0.22153196209038736</v>
      </c>
      <c r="K32" s="1" t="s">
        <v>30</v>
      </c>
      <c r="L32" s="1" t="s">
        <v>12</v>
      </c>
    </row>
    <row r="33" spans="1:12" x14ac:dyDescent="0.3">
      <c r="A33" s="4" t="s">
        <v>85</v>
      </c>
      <c r="B33" s="1" t="s">
        <v>9</v>
      </c>
      <c r="C33" s="1" t="s">
        <v>10</v>
      </c>
      <c r="D33" s="1">
        <v>2966.38</v>
      </c>
      <c r="E33" s="1">
        <v>326</v>
      </c>
      <c r="F33" s="1">
        <v>2566.2199999999998</v>
      </c>
      <c r="G33" s="1">
        <f>D33*Table1[[#This Row],[Quantity]]</f>
        <v>967039.88</v>
      </c>
      <c r="H33" s="1">
        <f>Table1[[#This Row],[Current_Price]]*Table1[[#This Row],[Quantity]]</f>
        <v>836587.72</v>
      </c>
      <c r="I33" s="1">
        <f>Table1[[#This Row],[Current_Value]]-Table1[[#This Row],[Investment_Value]]</f>
        <v>-130452.16000000003</v>
      </c>
      <c r="J33" s="11">
        <f t="shared" si="0"/>
        <v>-0.13489842838746219</v>
      </c>
      <c r="K33" s="1" t="s">
        <v>22</v>
      </c>
      <c r="L33" s="1" t="s">
        <v>12</v>
      </c>
    </row>
    <row r="34" spans="1:12" x14ac:dyDescent="0.3">
      <c r="A34" s="4" t="s">
        <v>95</v>
      </c>
      <c r="B34" s="1" t="s">
        <v>33</v>
      </c>
      <c r="C34" s="1" t="s">
        <v>34</v>
      </c>
      <c r="D34" s="1">
        <v>1937.08</v>
      </c>
      <c r="E34" s="1">
        <v>481</v>
      </c>
      <c r="F34" s="1">
        <v>2035.38</v>
      </c>
      <c r="G34" s="1">
        <f>D34*Table1[[#This Row],[Quantity]]</f>
        <v>931735.48</v>
      </c>
      <c r="H34" s="1">
        <f>Table1[[#This Row],[Current_Price]]*Table1[[#This Row],[Quantity]]</f>
        <v>979017.78</v>
      </c>
      <c r="I34" s="1">
        <f>Table1[[#This Row],[Current_Value]]-Table1[[#This Row],[Investment_Value]]</f>
        <v>47282.300000000047</v>
      </c>
      <c r="J34" s="11">
        <f t="shared" si="0"/>
        <v>5.0746484399198842E-2</v>
      </c>
      <c r="K34" s="1" t="s">
        <v>22</v>
      </c>
      <c r="L34" s="1" t="s">
        <v>12</v>
      </c>
    </row>
    <row r="35" spans="1:12" x14ac:dyDescent="0.3">
      <c r="A35" s="4" t="s">
        <v>74</v>
      </c>
      <c r="B35" s="1" t="s">
        <v>14</v>
      </c>
      <c r="C35" s="1" t="s">
        <v>15</v>
      </c>
      <c r="D35" s="1">
        <v>2787.17</v>
      </c>
      <c r="E35" s="1">
        <v>334</v>
      </c>
      <c r="F35" s="1">
        <v>2316.41</v>
      </c>
      <c r="G35" s="1">
        <f>D35*Table1[[#This Row],[Quantity]]</f>
        <v>930914.78</v>
      </c>
      <c r="H35" s="1">
        <f>Table1[[#This Row],[Current_Price]]*Table1[[#This Row],[Quantity]]</f>
        <v>773680.94</v>
      </c>
      <c r="I35" s="1">
        <f>Table1[[#This Row],[Current_Value]]-Table1[[#This Row],[Investment_Value]]</f>
        <v>-157233.84000000008</v>
      </c>
      <c r="J35" s="11">
        <f t="shared" si="0"/>
        <v>-0.16890250684385963</v>
      </c>
      <c r="K35" s="1" t="s">
        <v>11</v>
      </c>
      <c r="L35" s="1" t="s">
        <v>16</v>
      </c>
    </row>
    <row r="36" spans="1:12" x14ac:dyDescent="0.3">
      <c r="A36" s="4" t="s">
        <v>54</v>
      </c>
      <c r="B36" s="1" t="s">
        <v>55</v>
      </c>
      <c r="C36" s="1" t="s">
        <v>56</v>
      </c>
      <c r="D36" s="1">
        <v>2948.15</v>
      </c>
      <c r="E36" s="1">
        <v>309</v>
      </c>
      <c r="F36" s="1">
        <v>3296.69</v>
      </c>
      <c r="G36" s="1">
        <f>D36*Table1[[#This Row],[Quantity]]</f>
        <v>910978.35</v>
      </c>
      <c r="H36" s="1">
        <f>Table1[[#This Row],[Current_Price]]*Table1[[#This Row],[Quantity]]</f>
        <v>1018677.21</v>
      </c>
      <c r="I36" s="1">
        <f>Table1[[#This Row],[Current_Value]]-Table1[[#This Row],[Investment_Value]]</f>
        <v>107698.85999999999</v>
      </c>
      <c r="J36" s="11">
        <f t="shared" si="0"/>
        <v>0.11822329257330867</v>
      </c>
      <c r="K36" s="1" t="s">
        <v>30</v>
      </c>
      <c r="L36" s="1" t="s">
        <v>18</v>
      </c>
    </row>
    <row r="37" spans="1:12" x14ac:dyDescent="0.3">
      <c r="A37" s="4" t="s">
        <v>77</v>
      </c>
      <c r="B37" s="1" t="s">
        <v>70</v>
      </c>
      <c r="C37" s="1" t="s">
        <v>71</v>
      </c>
      <c r="D37" s="1">
        <v>2017.16</v>
      </c>
      <c r="E37" s="1">
        <v>449</v>
      </c>
      <c r="F37" s="1">
        <v>2075</v>
      </c>
      <c r="G37" s="1">
        <f>D37*Table1[[#This Row],[Quantity]]</f>
        <v>905704.84000000008</v>
      </c>
      <c r="H37" s="1">
        <f>Table1[[#This Row],[Current_Price]]*Table1[[#This Row],[Quantity]]</f>
        <v>931675</v>
      </c>
      <c r="I37" s="1">
        <f>Table1[[#This Row],[Current_Value]]-Table1[[#This Row],[Investment_Value]]</f>
        <v>25970.159999999916</v>
      </c>
      <c r="J37" s="11">
        <f t="shared" ref="J37:J68" si="1">((H37-G37)/G37)</f>
        <v>2.8673977274980569E-2</v>
      </c>
      <c r="K37" s="1" t="s">
        <v>35</v>
      </c>
      <c r="L37" s="1" t="s">
        <v>18</v>
      </c>
    </row>
    <row r="38" spans="1:12" x14ac:dyDescent="0.3">
      <c r="A38" s="4" t="s">
        <v>44</v>
      </c>
      <c r="B38" s="1" t="s">
        <v>20</v>
      </c>
      <c r="C38" s="1" t="s">
        <v>21</v>
      </c>
      <c r="D38" s="1">
        <v>3587.59</v>
      </c>
      <c r="E38" s="1">
        <v>245</v>
      </c>
      <c r="F38" s="1">
        <v>4614.78</v>
      </c>
      <c r="G38" s="1">
        <f>D38*Table1[[#This Row],[Quantity]]</f>
        <v>878959.55</v>
      </c>
      <c r="H38" s="1">
        <f>Table1[[#This Row],[Current_Price]]*Table1[[#This Row],[Quantity]]</f>
        <v>1130621.0999999999</v>
      </c>
      <c r="I38" s="1">
        <f>Table1[[#This Row],[Current_Value]]-Table1[[#This Row],[Investment_Value]]</f>
        <v>251661.54999999981</v>
      </c>
      <c r="J38" s="11">
        <f t="shared" si="1"/>
        <v>0.28631755579650942</v>
      </c>
      <c r="K38" s="1" t="s">
        <v>37</v>
      </c>
      <c r="L38" s="1" t="s">
        <v>18</v>
      </c>
    </row>
    <row r="39" spans="1:12" x14ac:dyDescent="0.3">
      <c r="A39" s="4" t="s">
        <v>114</v>
      </c>
      <c r="B39" s="1" t="s">
        <v>66</v>
      </c>
      <c r="C39" s="1" t="s">
        <v>10</v>
      </c>
      <c r="D39" s="1">
        <v>2482.52</v>
      </c>
      <c r="E39" s="1">
        <v>334</v>
      </c>
      <c r="F39" s="1">
        <v>3219.89</v>
      </c>
      <c r="G39" s="1">
        <f>D39*Table1[[#This Row],[Quantity]]</f>
        <v>829161.68</v>
      </c>
      <c r="H39" s="1">
        <f>Table1[[#This Row],[Current_Price]]*Table1[[#This Row],[Quantity]]</f>
        <v>1075443.26</v>
      </c>
      <c r="I39" s="1">
        <f>Table1[[#This Row],[Current_Value]]-Table1[[#This Row],[Investment_Value]]</f>
        <v>246281.57999999996</v>
      </c>
      <c r="J39" s="11">
        <f t="shared" si="1"/>
        <v>0.29702479738330401</v>
      </c>
      <c r="K39" s="1" t="s">
        <v>22</v>
      </c>
      <c r="L39" s="1" t="s">
        <v>18</v>
      </c>
    </row>
    <row r="40" spans="1:12" x14ac:dyDescent="0.3">
      <c r="A40" s="4" t="s">
        <v>93</v>
      </c>
      <c r="B40" s="1" t="s">
        <v>14</v>
      </c>
      <c r="C40" s="1" t="s">
        <v>15</v>
      </c>
      <c r="D40" s="1">
        <v>1992.46</v>
      </c>
      <c r="E40" s="1">
        <v>412</v>
      </c>
      <c r="F40" s="1">
        <v>1790.52</v>
      </c>
      <c r="G40" s="1">
        <f>D40*Table1[[#This Row],[Quantity]]</f>
        <v>820893.52</v>
      </c>
      <c r="H40" s="1">
        <f>Table1[[#This Row],[Current_Price]]*Table1[[#This Row],[Quantity]]</f>
        <v>737694.24</v>
      </c>
      <c r="I40" s="1">
        <f>Table1[[#This Row],[Current_Value]]-Table1[[#This Row],[Investment_Value]]</f>
        <v>-83199.280000000028</v>
      </c>
      <c r="J40" s="11">
        <f t="shared" si="1"/>
        <v>-0.10135209740722527</v>
      </c>
      <c r="K40" s="1" t="s">
        <v>30</v>
      </c>
      <c r="L40" s="1" t="s">
        <v>12</v>
      </c>
    </row>
    <row r="41" spans="1:12" x14ac:dyDescent="0.3">
      <c r="A41" s="4" t="s">
        <v>58</v>
      </c>
      <c r="B41" s="1" t="s">
        <v>14</v>
      </c>
      <c r="C41" s="1" t="s">
        <v>15</v>
      </c>
      <c r="D41" s="1">
        <v>3741.18</v>
      </c>
      <c r="E41" s="1">
        <v>214</v>
      </c>
      <c r="F41" s="1">
        <v>3348.83</v>
      </c>
      <c r="G41" s="1">
        <f>D41*Table1[[#This Row],[Quantity]]</f>
        <v>800612.52</v>
      </c>
      <c r="H41" s="1">
        <f>Table1[[#This Row],[Current_Price]]*Table1[[#This Row],[Quantity]]</f>
        <v>716649.62</v>
      </c>
      <c r="I41" s="1">
        <f>Table1[[#This Row],[Current_Value]]-Table1[[#This Row],[Investment_Value]]</f>
        <v>-83962.900000000023</v>
      </c>
      <c r="J41" s="11">
        <f t="shared" si="1"/>
        <v>-0.10487332873585342</v>
      </c>
      <c r="K41" s="1" t="s">
        <v>30</v>
      </c>
      <c r="L41" s="1" t="s">
        <v>12</v>
      </c>
    </row>
    <row r="42" spans="1:12" x14ac:dyDescent="0.3">
      <c r="A42" s="4" t="s">
        <v>13</v>
      </c>
      <c r="B42" s="1" t="s">
        <v>14</v>
      </c>
      <c r="C42" s="1" t="s">
        <v>15</v>
      </c>
      <c r="D42" s="1">
        <v>2257.4699999999998</v>
      </c>
      <c r="E42" s="1">
        <v>339</v>
      </c>
      <c r="F42" s="1">
        <v>1854.2</v>
      </c>
      <c r="G42" s="1">
        <f>D42*Table1[[#This Row],[Quantity]]</f>
        <v>765282.33</v>
      </c>
      <c r="H42" s="1">
        <f>Table1[[#This Row],[Current_Price]]*Table1[[#This Row],[Quantity]]</f>
        <v>628573.80000000005</v>
      </c>
      <c r="I42" s="1">
        <f>Table1[[#This Row],[Current_Value]]-Table1[[#This Row],[Investment_Value]]</f>
        <v>-136708.52999999991</v>
      </c>
      <c r="J42" s="11">
        <f t="shared" si="1"/>
        <v>-0.17863803284207533</v>
      </c>
      <c r="K42" s="1" t="s">
        <v>11</v>
      </c>
      <c r="L42" s="1" t="s">
        <v>16</v>
      </c>
    </row>
    <row r="43" spans="1:12" x14ac:dyDescent="0.3">
      <c r="A43" s="4" t="s">
        <v>107</v>
      </c>
      <c r="B43" s="1" t="s">
        <v>73</v>
      </c>
      <c r="C43" s="1" t="s">
        <v>10</v>
      </c>
      <c r="D43" s="1">
        <v>4774.72</v>
      </c>
      <c r="E43" s="1">
        <v>158</v>
      </c>
      <c r="F43" s="1">
        <v>5983.79</v>
      </c>
      <c r="G43" s="1">
        <f>D43*Table1[[#This Row],[Quantity]]</f>
        <v>754405.76</v>
      </c>
      <c r="H43" s="1">
        <f>Table1[[#This Row],[Current_Price]]*Table1[[#This Row],[Quantity]]</f>
        <v>945438.82</v>
      </c>
      <c r="I43" s="1">
        <f>Table1[[#This Row],[Current_Value]]-Table1[[#This Row],[Investment_Value]]</f>
        <v>191033.05999999994</v>
      </c>
      <c r="J43" s="11">
        <f t="shared" si="1"/>
        <v>0.25322322565511685</v>
      </c>
      <c r="K43" s="1" t="s">
        <v>11</v>
      </c>
      <c r="L43" s="1" t="s">
        <v>16</v>
      </c>
    </row>
    <row r="44" spans="1:12" x14ac:dyDescent="0.3">
      <c r="A44" s="4" t="s">
        <v>36</v>
      </c>
      <c r="B44" s="1" t="s">
        <v>17</v>
      </c>
      <c r="C44" s="1" t="s">
        <v>15</v>
      </c>
      <c r="D44" s="1">
        <v>4243.6899999999996</v>
      </c>
      <c r="E44" s="1">
        <v>176</v>
      </c>
      <c r="F44" s="1">
        <v>4466.22</v>
      </c>
      <c r="G44" s="1">
        <f>D44*Table1[[#This Row],[Quantity]]</f>
        <v>746889.44</v>
      </c>
      <c r="H44" s="1">
        <f>Table1[[#This Row],[Current_Price]]*Table1[[#This Row],[Quantity]]</f>
        <v>786054.72000000009</v>
      </c>
      <c r="I44" s="1">
        <f>Table1[[#This Row],[Current_Value]]-Table1[[#This Row],[Investment_Value]]</f>
        <v>39165.280000000144</v>
      </c>
      <c r="J44" s="11">
        <f t="shared" si="1"/>
        <v>5.2437854791467058E-2</v>
      </c>
      <c r="K44" s="1" t="s">
        <v>11</v>
      </c>
      <c r="L44" s="1" t="s">
        <v>12</v>
      </c>
    </row>
    <row r="45" spans="1:12" x14ac:dyDescent="0.3">
      <c r="A45" s="4" t="s">
        <v>109</v>
      </c>
      <c r="B45" s="1" t="s">
        <v>17</v>
      </c>
      <c r="C45" s="1" t="s">
        <v>15</v>
      </c>
      <c r="D45" s="1">
        <v>4106.91</v>
      </c>
      <c r="E45" s="1">
        <v>179</v>
      </c>
      <c r="F45" s="1">
        <v>5103.25</v>
      </c>
      <c r="G45" s="1">
        <f>D45*Table1[[#This Row],[Quantity]]</f>
        <v>735136.89</v>
      </c>
      <c r="H45" s="1">
        <f>Table1[[#This Row],[Current_Price]]*Table1[[#This Row],[Quantity]]</f>
        <v>913481.75</v>
      </c>
      <c r="I45" s="1">
        <f>Table1[[#This Row],[Current_Value]]-Table1[[#This Row],[Investment_Value]]</f>
        <v>178344.86</v>
      </c>
      <c r="J45" s="11">
        <f t="shared" si="1"/>
        <v>0.24260088485016712</v>
      </c>
      <c r="K45" s="1" t="s">
        <v>37</v>
      </c>
      <c r="L45" s="1" t="s">
        <v>16</v>
      </c>
    </row>
    <row r="46" spans="1:12" x14ac:dyDescent="0.3">
      <c r="A46" s="4" t="s">
        <v>65</v>
      </c>
      <c r="B46" s="1" t="s">
        <v>70</v>
      </c>
      <c r="C46" s="1" t="s">
        <v>71</v>
      </c>
      <c r="D46" s="1">
        <v>1561.21</v>
      </c>
      <c r="E46" s="1">
        <v>411</v>
      </c>
      <c r="F46" s="1">
        <v>1496.92</v>
      </c>
      <c r="G46" s="1">
        <f>D46*Table1[[#This Row],[Quantity]]</f>
        <v>641657.31000000006</v>
      </c>
      <c r="H46" s="1">
        <f>Table1[[#This Row],[Current_Price]]*Table1[[#This Row],[Quantity]]</f>
        <v>615234.12</v>
      </c>
      <c r="I46" s="1">
        <f>Table1[[#This Row],[Current_Value]]-Table1[[#This Row],[Investment_Value]]</f>
        <v>-26423.190000000061</v>
      </c>
      <c r="J46" s="11">
        <f t="shared" si="1"/>
        <v>-4.1179597876006523E-2</v>
      </c>
      <c r="K46" s="1" t="s">
        <v>35</v>
      </c>
      <c r="L46" s="1" t="s">
        <v>16</v>
      </c>
    </row>
    <row r="47" spans="1:12" x14ac:dyDescent="0.3">
      <c r="A47" s="4" t="s">
        <v>78</v>
      </c>
      <c r="B47" s="1" t="s">
        <v>79</v>
      </c>
      <c r="C47" s="1" t="s">
        <v>61</v>
      </c>
      <c r="D47" s="1">
        <v>1451.81</v>
      </c>
      <c r="E47" s="1">
        <v>441</v>
      </c>
      <c r="F47" s="1">
        <v>1458.3</v>
      </c>
      <c r="G47" s="1">
        <f>D47*Table1[[#This Row],[Quantity]]</f>
        <v>640248.21</v>
      </c>
      <c r="H47" s="1">
        <f>Table1[[#This Row],[Current_Price]]*Table1[[#This Row],[Quantity]]</f>
        <v>643110.29999999993</v>
      </c>
      <c r="I47" s="1">
        <f>Table1[[#This Row],[Current_Value]]-Table1[[#This Row],[Investment_Value]]</f>
        <v>2862.0899999999674</v>
      </c>
      <c r="J47" s="11">
        <f t="shared" si="1"/>
        <v>4.4702819239431655E-3</v>
      </c>
      <c r="K47" s="1" t="s">
        <v>11</v>
      </c>
      <c r="L47" s="1" t="s">
        <v>18</v>
      </c>
    </row>
    <row r="48" spans="1:12" x14ac:dyDescent="0.3">
      <c r="A48" s="4" t="s">
        <v>92</v>
      </c>
      <c r="B48" s="1" t="s">
        <v>17</v>
      </c>
      <c r="C48" s="1" t="s">
        <v>15</v>
      </c>
      <c r="D48" s="1">
        <v>1672.7</v>
      </c>
      <c r="E48" s="1">
        <v>382</v>
      </c>
      <c r="F48" s="1">
        <v>1653.04</v>
      </c>
      <c r="G48" s="1">
        <f>D48*Table1[[#This Row],[Quantity]]</f>
        <v>638971.4</v>
      </c>
      <c r="H48" s="1">
        <f>Table1[[#This Row],[Current_Price]]*Table1[[#This Row],[Quantity]]</f>
        <v>631461.28</v>
      </c>
      <c r="I48" s="1">
        <f>Table1[[#This Row],[Current_Value]]-Table1[[#This Row],[Investment_Value]]</f>
        <v>-7510.1199999999953</v>
      </c>
      <c r="J48" s="11">
        <f t="shared" si="1"/>
        <v>-1.1753452501942959E-2</v>
      </c>
      <c r="K48" s="1" t="s">
        <v>30</v>
      </c>
      <c r="L48" s="1" t="s">
        <v>16</v>
      </c>
    </row>
    <row r="49" spans="1:12" x14ac:dyDescent="0.3">
      <c r="A49" s="4" t="s">
        <v>19</v>
      </c>
      <c r="B49" s="1" t="s">
        <v>20</v>
      </c>
      <c r="C49" s="1" t="s">
        <v>21</v>
      </c>
      <c r="D49" s="1">
        <v>1577.27</v>
      </c>
      <c r="E49" s="1">
        <v>396</v>
      </c>
      <c r="F49" s="1">
        <v>1328.6</v>
      </c>
      <c r="G49" s="1">
        <f>D49*Table1[[#This Row],[Quantity]]</f>
        <v>624598.92000000004</v>
      </c>
      <c r="H49" s="1">
        <f>Table1[[#This Row],[Current_Price]]*Table1[[#This Row],[Quantity]]</f>
        <v>526125.6</v>
      </c>
      <c r="I49" s="1">
        <f>Table1[[#This Row],[Current_Value]]-Table1[[#This Row],[Investment_Value]]</f>
        <v>-98473.320000000065</v>
      </c>
      <c r="J49" s="11">
        <f t="shared" si="1"/>
        <v>-0.15765848586481715</v>
      </c>
      <c r="K49" s="1" t="s">
        <v>22</v>
      </c>
      <c r="L49" s="1" t="s">
        <v>12</v>
      </c>
    </row>
    <row r="50" spans="1:12" x14ac:dyDescent="0.3">
      <c r="A50" s="4" t="s">
        <v>124</v>
      </c>
      <c r="B50" s="1" t="s">
        <v>33</v>
      </c>
      <c r="C50" s="1" t="s">
        <v>34</v>
      </c>
      <c r="D50" s="1">
        <v>2454.19</v>
      </c>
      <c r="E50" s="1">
        <v>249</v>
      </c>
      <c r="F50" s="1">
        <v>2950.96</v>
      </c>
      <c r="G50" s="1">
        <f>D50*Table1[[#This Row],[Quantity]]</f>
        <v>611093.31000000006</v>
      </c>
      <c r="H50" s="1">
        <f>Table1[[#This Row],[Current_Price]]*Table1[[#This Row],[Quantity]]</f>
        <v>734789.04</v>
      </c>
      <c r="I50" s="1">
        <f>Table1[[#This Row],[Current_Value]]-Table1[[#This Row],[Investment_Value]]</f>
        <v>123695.72999999998</v>
      </c>
      <c r="J50" s="11">
        <f t="shared" si="1"/>
        <v>0.20241709077129313</v>
      </c>
      <c r="K50" s="1" t="s">
        <v>11</v>
      </c>
      <c r="L50" s="1" t="s">
        <v>18</v>
      </c>
    </row>
    <row r="51" spans="1:12" x14ac:dyDescent="0.3">
      <c r="A51" s="4" t="s">
        <v>85</v>
      </c>
      <c r="B51" s="1" t="s">
        <v>60</v>
      </c>
      <c r="C51" s="1" t="s">
        <v>61</v>
      </c>
      <c r="D51" s="1">
        <v>2545.1799999999998</v>
      </c>
      <c r="E51" s="1">
        <v>234</v>
      </c>
      <c r="F51" s="1">
        <v>3365.46</v>
      </c>
      <c r="G51" s="1">
        <f>D51*Table1[[#This Row],[Quantity]]</f>
        <v>595572.12</v>
      </c>
      <c r="H51" s="1">
        <f>Table1[[#This Row],[Current_Price]]*Table1[[#This Row],[Quantity]]</f>
        <v>787517.64</v>
      </c>
      <c r="I51" s="1">
        <f>Table1[[#This Row],[Current_Value]]-Table1[[#This Row],[Investment_Value]]</f>
        <v>191945.52000000002</v>
      </c>
      <c r="J51" s="11">
        <f t="shared" si="1"/>
        <v>0.32228761816453061</v>
      </c>
      <c r="K51" s="1" t="s">
        <v>11</v>
      </c>
      <c r="L51" s="1" t="s">
        <v>12</v>
      </c>
    </row>
    <row r="52" spans="1:12" x14ac:dyDescent="0.3">
      <c r="A52" s="4" t="s">
        <v>31</v>
      </c>
      <c r="B52" s="1" t="s">
        <v>88</v>
      </c>
      <c r="C52" s="1" t="s">
        <v>43</v>
      </c>
      <c r="D52" s="1">
        <v>1276.01</v>
      </c>
      <c r="E52" s="1">
        <v>437</v>
      </c>
      <c r="F52" s="1">
        <v>1625.14</v>
      </c>
      <c r="G52" s="1">
        <f>D52*Table1[[#This Row],[Quantity]]</f>
        <v>557616.37</v>
      </c>
      <c r="H52" s="1">
        <f>Table1[[#This Row],[Current_Price]]*Table1[[#This Row],[Quantity]]</f>
        <v>710186.18</v>
      </c>
      <c r="I52" s="1">
        <f>Table1[[#This Row],[Current_Value]]-Table1[[#This Row],[Investment_Value]]</f>
        <v>152569.81000000006</v>
      </c>
      <c r="J52" s="11">
        <f t="shared" si="1"/>
        <v>0.27361070838002849</v>
      </c>
      <c r="K52" s="1" t="s">
        <v>30</v>
      </c>
      <c r="L52" s="1" t="s">
        <v>16</v>
      </c>
    </row>
    <row r="53" spans="1:12" x14ac:dyDescent="0.3">
      <c r="A53" s="4" t="s">
        <v>101</v>
      </c>
      <c r="B53" s="1" t="s">
        <v>40</v>
      </c>
      <c r="C53" s="1" t="s">
        <v>10</v>
      </c>
      <c r="D53" s="1">
        <v>3840.01</v>
      </c>
      <c r="E53" s="1">
        <v>143</v>
      </c>
      <c r="F53" s="1">
        <v>3097.84</v>
      </c>
      <c r="G53" s="1">
        <f>D53*Table1[[#This Row],[Quantity]]</f>
        <v>549121.43000000005</v>
      </c>
      <c r="H53" s="1">
        <f>Table1[[#This Row],[Current_Price]]*Table1[[#This Row],[Quantity]]</f>
        <v>442991.12</v>
      </c>
      <c r="I53" s="1">
        <f>Table1[[#This Row],[Current_Value]]-Table1[[#This Row],[Investment_Value]]</f>
        <v>-106130.31000000006</v>
      </c>
      <c r="J53" s="11">
        <f t="shared" si="1"/>
        <v>-0.1932729341850673</v>
      </c>
      <c r="K53" s="1" t="s">
        <v>30</v>
      </c>
      <c r="L53" s="1" t="s">
        <v>18</v>
      </c>
    </row>
    <row r="54" spans="1:12" x14ac:dyDescent="0.3">
      <c r="A54" s="4" t="s">
        <v>87</v>
      </c>
      <c r="B54" s="1" t="s">
        <v>20</v>
      </c>
      <c r="C54" s="1" t="s">
        <v>21</v>
      </c>
      <c r="D54" s="1">
        <v>2965.75</v>
      </c>
      <c r="E54" s="1">
        <v>184</v>
      </c>
      <c r="F54" s="1">
        <v>2234.0700000000002</v>
      </c>
      <c r="G54" s="1">
        <f>D54*Table1[[#This Row],[Quantity]]</f>
        <v>545698</v>
      </c>
      <c r="H54" s="1">
        <f>Table1[[#This Row],[Current_Price]]*Table1[[#This Row],[Quantity]]</f>
        <v>411068.88</v>
      </c>
      <c r="I54" s="1">
        <f>Table1[[#This Row],[Current_Value]]-Table1[[#This Row],[Investment_Value]]</f>
        <v>-134629.12</v>
      </c>
      <c r="J54" s="11">
        <f t="shared" si="1"/>
        <v>-0.24670993846413217</v>
      </c>
      <c r="K54" s="1" t="s">
        <v>22</v>
      </c>
      <c r="L54" s="1" t="s">
        <v>16</v>
      </c>
    </row>
    <row r="55" spans="1:12" x14ac:dyDescent="0.3">
      <c r="A55" s="4" t="s">
        <v>44</v>
      </c>
      <c r="B55" s="1" t="s">
        <v>63</v>
      </c>
      <c r="C55" s="1" t="s">
        <v>64</v>
      </c>
      <c r="D55" s="1">
        <v>1580.38</v>
      </c>
      <c r="E55" s="1">
        <v>332</v>
      </c>
      <c r="F55" s="1">
        <v>1798.67</v>
      </c>
      <c r="G55" s="1">
        <f>D55*Table1[[#This Row],[Quantity]]</f>
        <v>524686.16</v>
      </c>
      <c r="H55" s="1">
        <f>Table1[[#This Row],[Current_Price]]*Table1[[#This Row],[Quantity]]</f>
        <v>597158.44000000006</v>
      </c>
      <c r="I55" s="1">
        <f>Table1[[#This Row],[Current_Value]]-Table1[[#This Row],[Investment_Value]]</f>
        <v>72472.280000000028</v>
      </c>
      <c r="J55" s="11">
        <f t="shared" si="1"/>
        <v>0.13812500790949017</v>
      </c>
      <c r="K55" s="1" t="s">
        <v>35</v>
      </c>
      <c r="L55" s="1" t="s">
        <v>12</v>
      </c>
    </row>
    <row r="56" spans="1:12" x14ac:dyDescent="0.3">
      <c r="A56" s="4" t="s">
        <v>51</v>
      </c>
      <c r="B56" s="1" t="s">
        <v>20</v>
      </c>
      <c r="C56" s="1" t="s">
        <v>21</v>
      </c>
      <c r="D56" s="1">
        <v>1590.62</v>
      </c>
      <c r="E56" s="1">
        <v>322</v>
      </c>
      <c r="F56" s="1">
        <v>1316.37</v>
      </c>
      <c r="G56" s="1">
        <f>D56*Table1[[#This Row],[Quantity]]</f>
        <v>512179.63999999996</v>
      </c>
      <c r="H56" s="1">
        <f>Table1[[#This Row],[Current_Price]]*Table1[[#This Row],[Quantity]]</f>
        <v>423871.13999999996</v>
      </c>
      <c r="I56" s="1">
        <f>Table1[[#This Row],[Current_Value]]-Table1[[#This Row],[Investment_Value]]</f>
        <v>-88308.5</v>
      </c>
      <c r="J56" s="11">
        <f t="shared" si="1"/>
        <v>-0.17241704492587798</v>
      </c>
      <c r="K56" s="1" t="s">
        <v>11</v>
      </c>
      <c r="L56" s="1" t="s">
        <v>12</v>
      </c>
    </row>
    <row r="57" spans="1:12" x14ac:dyDescent="0.3">
      <c r="A57" s="4" t="s">
        <v>118</v>
      </c>
      <c r="B57" s="1" t="s">
        <v>40</v>
      </c>
      <c r="C57" s="1" t="s">
        <v>10</v>
      </c>
      <c r="D57" s="1">
        <v>1662.52</v>
      </c>
      <c r="E57" s="1">
        <v>307</v>
      </c>
      <c r="F57" s="1">
        <v>2102.35</v>
      </c>
      <c r="G57" s="1">
        <f>D57*Table1[[#This Row],[Quantity]]</f>
        <v>510393.64</v>
      </c>
      <c r="H57" s="1">
        <f>Table1[[#This Row],[Current_Price]]*Table1[[#This Row],[Quantity]]</f>
        <v>645421.44999999995</v>
      </c>
      <c r="I57" s="1">
        <f>Table1[[#This Row],[Current_Value]]-Table1[[#This Row],[Investment_Value]]</f>
        <v>135027.80999999994</v>
      </c>
      <c r="J57" s="11">
        <f t="shared" si="1"/>
        <v>0.26455621586507216</v>
      </c>
      <c r="K57" s="1" t="s">
        <v>22</v>
      </c>
      <c r="L57" s="1" t="s">
        <v>16</v>
      </c>
    </row>
    <row r="58" spans="1:12" x14ac:dyDescent="0.3">
      <c r="A58" s="4" t="s">
        <v>62</v>
      </c>
      <c r="B58" s="1" t="s">
        <v>52</v>
      </c>
      <c r="C58" s="1" t="s">
        <v>53</v>
      </c>
      <c r="D58" s="1">
        <v>2664.19</v>
      </c>
      <c r="E58" s="1">
        <v>191</v>
      </c>
      <c r="F58" s="1">
        <v>3367.9</v>
      </c>
      <c r="G58" s="1">
        <f>D58*Table1[[#This Row],[Quantity]]</f>
        <v>508860.29000000004</v>
      </c>
      <c r="H58" s="1">
        <f>Table1[[#This Row],[Current_Price]]*Table1[[#This Row],[Quantity]]</f>
        <v>643268.9</v>
      </c>
      <c r="I58" s="1">
        <f>Table1[[#This Row],[Current_Value]]-Table1[[#This Row],[Investment_Value]]</f>
        <v>134408.60999999999</v>
      </c>
      <c r="J58" s="11">
        <f t="shared" si="1"/>
        <v>0.26413656683644932</v>
      </c>
      <c r="K58" s="1" t="s">
        <v>37</v>
      </c>
      <c r="L58" s="1" t="s">
        <v>18</v>
      </c>
    </row>
    <row r="59" spans="1:12" x14ac:dyDescent="0.3">
      <c r="A59" s="4" t="s">
        <v>97</v>
      </c>
      <c r="B59" s="1" t="s">
        <v>88</v>
      </c>
      <c r="C59" s="1" t="s">
        <v>43</v>
      </c>
      <c r="D59" s="1">
        <v>3537.54</v>
      </c>
      <c r="E59" s="1">
        <v>143</v>
      </c>
      <c r="F59" s="1">
        <v>3792.81</v>
      </c>
      <c r="G59" s="1">
        <f>D59*Table1[[#This Row],[Quantity]]</f>
        <v>505868.22</v>
      </c>
      <c r="H59" s="1">
        <f>Table1[[#This Row],[Current_Price]]*Table1[[#This Row],[Quantity]]</f>
        <v>542371.82999999996</v>
      </c>
      <c r="I59" s="1">
        <f>Table1[[#This Row],[Current_Value]]-Table1[[#This Row],[Investment_Value]]</f>
        <v>36503.609999999986</v>
      </c>
      <c r="J59" s="11">
        <f t="shared" si="1"/>
        <v>7.2160314795027033E-2</v>
      </c>
      <c r="K59" s="1" t="s">
        <v>22</v>
      </c>
      <c r="L59" s="1" t="s">
        <v>16</v>
      </c>
    </row>
    <row r="60" spans="1:12" x14ac:dyDescent="0.3">
      <c r="A60" s="4" t="s">
        <v>46</v>
      </c>
      <c r="B60" s="1" t="s">
        <v>29</v>
      </c>
      <c r="C60" s="1" t="s">
        <v>15</v>
      </c>
      <c r="D60" s="1">
        <v>1954.38</v>
      </c>
      <c r="E60" s="1">
        <v>250</v>
      </c>
      <c r="F60" s="1">
        <v>1812.39</v>
      </c>
      <c r="G60" s="1">
        <f>D60*Table1[[#This Row],[Quantity]]</f>
        <v>488595</v>
      </c>
      <c r="H60" s="1">
        <f>Table1[[#This Row],[Current_Price]]*Table1[[#This Row],[Quantity]]</f>
        <v>453097.5</v>
      </c>
      <c r="I60" s="1">
        <f>Table1[[#This Row],[Current_Value]]-Table1[[#This Row],[Investment_Value]]</f>
        <v>-35497.5</v>
      </c>
      <c r="J60" s="11">
        <f t="shared" si="1"/>
        <v>-7.2652196604549774E-2</v>
      </c>
      <c r="K60" s="1" t="s">
        <v>11</v>
      </c>
      <c r="L60" s="1" t="s">
        <v>12</v>
      </c>
    </row>
    <row r="61" spans="1:12" x14ac:dyDescent="0.3">
      <c r="A61" s="4" t="s">
        <v>120</v>
      </c>
      <c r="B61" s="1" t="s">
        <v>70</v>
      </c>
      <c r="C61" s="1" t="s">
        <v>71</v>
      </c>
      <c r="D61" s="1">
        <v>1558.32</v>
      </c>
      <c r="E61" s="1">
        <v>300</v>
      </c>
      <c r="F61" s="1">
        <v>1819.94</v>
      </c>
      <c r="G61" s="1">
        <f>D61*Table1[[#This Row],[Quantity]]</f>
        <v>467496</v>
      </c>
      <c r="H61" s="1">
        <f>Table1[[#This Row],[Current_Price]]*Table1[[#This Row],[Quantity]]</f>
        <v>545982</v>
      </c>
      <c r="I61" s="1">
        <f>Table1[[#This Row],[Current_Value]]-Table1[[#This Row],[Investment_Value]]</f>
        <v>78486</v>
      </c>
      <c r="J61" s="11">
        <f t="shared" si="1"/>
        <v>0.16788592843575131</v>
      </c>
      <c r="K61" s="1" t="s">
        <v>22</v>
      </c>
      <c r="L61" s="1" t="s">
        <v>16</v>
      </c>
    </row>
    <row r="62" spans="1:12" x14ac:dyDescent="0.3">
      <c r="A62" s="4" t="s">
        <v>32</v>
      </c>
      <c r="B62" s="1" t="s">
        <v>33</v>
      </c>
      <c r="C62" s="1" t="s">
        <v>34</v>
      </c>
      <c r="D62" s="1">
        <v>4288.34</v>
      </c>
      <c r="E62" s="1">
        <v>96</v>
      </c>
      <c r="F62" s="1">
        <v>4755.01</v>
      </c>
      <c r="G62" s="1">
        <f>D62*Table1[[#This Row],[Quantity]]</f>
        <v>411680.64</v>
      </c>
      <c r="H62" s="1">
        <f>Table1[[#This Row],[Current_Price]]*Table1[[#This Row],[Quantity]]</f>
        <v>456480.96</v>
      </c>
      <c r="I62" s="1">
        <f>Table1[[#This Row],[Current_Value]]-Table1[[#This Row],[Investment_Value]]</f>
        <v>44800.320000000007</v>
      </c>
      <c r="J62" s="11">
        <f t="shared" si="1"/>
        <v>0.10882299444540312</v>
      </c>
      <c r="K62" s="1" t="s">
        <v>35</v>
      </c>
      <c r="L62" s="1" t="s">
        <v>16</v>
      </c>
    </row>
    <row r="63" spans="1:12" x14ac:dyDescent="0.3">
      <c r="A63" s="4" t="s">
        <v>95</v>
      </c>
      <c r="B63" s="1" t="s">
        <v>40</v>
      </c>
      <c r="C63" s="1" t="s">
        <v>10</v>
      </c>
      <c r="D63" s="1">
        <v>2534.6</v>
      </c>
      <c r="E63" s="1">
        <v>159</v>
      </c>
      <c r="F63" s="1">
        <v>2070.87</v>
      </c>
      <c r="G63" s="1">
        <f>D63*Table1[[#This Row],[Quantity]]</f>
        <v>403001.39999999997</v>
      </c>
      <c r="H63" s="1">
        <f>Table1[[#This Row],[Current_Price]]*Table1[[#This Row],[Quantity]]</f>
        <v>329268.32999999996</v>
      </c>
      <c r="I63" s="1">
        <f>Table1[[#This Row],[Current_Value]]-Table1[[#This Row],[Investment_Value]]</f>
        <v>-73733.070000000007</v>
      </c>
      <c r="J63" s="11">
        <f t="shared" si="1"/>
        <v>-0.18295983587153794</v>
      </c>
      <c r="K63" s="1" t="s">
        <v>11</v>
      </c>
      <c r="L63" s="1" t="s">
        <v>18</v>
      </c>
    </row>
    <row r="64" spans="1:12" x14ac:dyDescent="0.3">
      <c r="A64" s="4" t="s">
        <v>102</v>
      </c>
      <c r="B64" s="1" t="s">
        <v>20</v>
      </c>
      <c r="C64" s="1" t="s">
        <v>21</v>
      </c>
      <c r="D64" s="1">
        <v>1125.53</v>
      </c>
      <c r="E64" s="1">
        <v>343</v>
      </c>
      <c r="F64" s="1">
        <v>1441.16</v>
      </c>
      <c r="G64" s="1">
        <f>D64*Table1[[#This Row],[Quantity]]</f>
        <v>386056.79</v>
      </c>
      <c r="H64" s="1">
        <f>Table1[[#This Row],[Current_Price]]*Table1[[#This Row],[Quantity]]</f>
        <v>494317.88</v>
      </c>
      <c r="I64" s="1">
        <f>Table1[[#This Row],[Current_Value]]-Table1[[#This Row],[Investment_Value]]</f>
        <v>108261.09000000003</v>
      </c>
      <c r="J64" s="11">
        <f t="shared" si="1"/>
        <v>0.28042788730642459</v>
      </c>
      <c r="K64" s="1" t="s">
        <v>22</v>
      </c>
      <c r="L64" s="1" t="s">
        <v>18</v>
      </c>
    </row>
    <row r="65" spans="1:12" x14ac:dyDescent="0.3">
      <c r="A65" s="4" t="s">
        <v>39</v>
      </c>
      <c r="B65" s="1" t="s">
        <v>40</v>
      </c>
      <c r="C65" s="1" t="s">
        <v>10</v>
      </c>
      <c r="D65" s="1">
        <v>4322.45</v>
      </c>
      <c r="E65" s="1">
        <v>89</v>
      </c>
      <c r="F65" s="1">
        <v>4856.83</v>
      </c>
      <c r="G65" s="1">
        <f>D65*Table1[[#This Row],[Quantity]]</f>
        <v>384698.05</v>
      </c>
      <c r="H65" s="1">
        <f>Table1[[#This Row],[Current_Price]]*Table1[[#This Row],[Quantity]]</f>
        <v>432257.87</v>
      </c>
      <c r="I65" s="1">
        <f>Table1[[#This Row],[Current_Value]]-Table1[[#This Row],[Investment_Value]]</f>
        <v>47559.820000000007</v>
      </c>
      <c r="J65" s="11">
        <f t="shared" si="1"/>
        <v>0.12362896042753534</v>
      </c>
      <c r="K65" s="1" t="s">
        <v>30</v>
      </c>
      <c r="L65" s="1" t="s">
        <v>16</v>
      </c>
    </row>
    <row r="66" spans="1:12" x14ac:dyDescent="0.3">
      <c r="A66" s="4" t="s">
        <v>44</v>
      </c>
      <c r="B66" s="1" t="s">
        <v>69</v>
      </c>
      <c r="C66" s="1" t="s">
        <v>15</v>
      </c>
      <c r="D66" s="1">
        <v>2042.85</v>
      </c>
      <c r="E66" s="1">
        <v>185</v>
      </c>
      <c r="F66" s="1">
        <v>2019.25</v>
      </c>
      <c r="G66" s="1">
        <f>D66*Table1[[#This Row],[Quantity]]</f>
        <v>377927.25</v>
      </c>
      <c r="H66" s="1">
        <f>Table1[[#This Row],[Current_Price]]*Table1[[#This Row],[Quantity]]</f>
        <v>373561.25</v>
      </c>
      <c r="I66" s="1">
        <f>Table1[[#This Row],[Current_Value]]-Table1[[#This Row],[Investment_Value]]</f>
        <v>-4366</v>
      </c>
      <c r="J66" s="11">
        <f t="shared" si="1"/>
        <v>-1.1552487945762049E-2</v>
      </c>
      <c r="K66" s="1" t="s">
        <v>37</v>
      </c>
      <c r="L66" s="1" t="s">
        <v>18</v>
      </c>
    </row>
    <row r="67" spans="1:12" x14ac:dyDescent="0.3">
      <c r="A67" s="4" t="s">
        <v>83</v>
      </c>
      <c r="B67" s="1" t="s">
        <v>14</v>
      </c>
      <c r="C67" s="1" t="s">
        <v>15</v>
      </c>
      <c r="D67" s="1">
        <v>1694.03</v>
      </c>
      <c r="E67" s="1">
        <v>221</v>
      </c>
      <c r="F67" s="1">
        <v>1852.39</v>
      </c>
      <c r="G67" s="1">
        <f>D67*Table1[[#This Row],[Quantity]]</f>
        <v>374380.63</v>
      </c>
      <c r="H67" s="1">
        <f>Table1[[#This Row],[Current_Price]]*Table1[[#This Row],[Quantity]]</f>
        <v>409378.19</v>
      </c>
      <c r="I67" s="1">
        <f>Table1[[#This Row],[Current_Value]]-Table1[[#This Row],[Investment_Value]]</f>
        <v>34997.56</v>
      </c>
      <c r="J67" s="11">
        <f t="shared" si="1"/>
        <v>9.3481225243944907E-2</v>
      </c>
      <c r="K67" s="1" t="s">
        <v>30</v>
      </c>
      <c r="L67" s="1" t="s">
        <v>16</v>
      </c>
    </row>
    <row r="68" spans="1:12" x14ac:dyDescent="0.3">
      <c r="A68" s="4" t="s">
        <v>90</v>
      </c>
      <c r="B68" s="1" t="s">
        <v>14</v>
      </c>
      <c r="C68" s="1" t="s">
        <v>15</v>
      </c>
      <c r="D68" s="1">
        <v>1436.1</v>
      </c>
      <c r="E68" s="1">
        <v>233</v>
      </c>
      <c r="F68" s="1">
        <v>1470.97</v>
      </c>
      <c r="G68" s="1">
        <f>D68*Table1[[#This Row],[Quantity]]</f>
        <v>334611.3</v>
      </c>
      <c r="H68" s="1">
        <f>Table1[[#This Row],[Current_Price]]*Table1[[#This Row],[Quantity]]</f>
        <v>342736.01</v>
      </c>
      <c r="I68" s="1">
        <f>Table1[[#This Row],[Current_Value]]-Table1[[#This Row],[Investment_Value]]</f>
        <v>8124.710000000021</v>
      </c>
      <c r="J68" s="11">
        <f t="shared" si="1"/>
        <v>2.4281038924866018E-2</v>
      </c>
      <c r="K68" s="1" t="s">
        <v>30</v>
      </c>
      <c r="L68" s="1" t="s">
        <v>12</v>
      </c>
    </row>
    <row r="69" spans="1:12" x14ac:dyDescent="0.3">
      <c r="A69" s="4" t="s">
        <v>57</v>
      </c>
      <c r="B69" s="1" t="s">
        <v>55</v>
      </c>
      <c r="C69" s="1" t="s">
        <v>56</v>
      </c>
      <c r="D69" s="1">
        <v>648.85</v>
      </c>
      <c r="E69" s="1">
        <v>498</v>
      </c>
      <c r="F69" s="1">
        <v>795.94</v>
      </c>
      <c r="G69" s="1">
        <f>D69*Table1[[#This Row],[Quantity]]</f>
        <v>323127.3</v>
      </c>
      <c r="H69" s="1">
        <f>Table1[[#This Row],[Current_Price]]*Table1[[#This Row],[Quantity]]</f>
        <v>396378.12000000005</v>
      </c>
      <c r="I69" s="1">
        <f>Table1[[#This Row],[Current_Value]]-Table1[[#This Row],[Investment_Value]]</f>
        <v>73250.820000000065</v>
      </c>
      <c r="J69" s="11">
        <f t="shared" ref="J69:J100" si="2">((H69-G69)/G69)</f>
        <v>0.22669338059644006</v>
      </c>
      <c r="K69" s="1" t="s">
        <v>35</v>
      </c>
      <c r="L69" s="1" t="s">
        <v>16</v>
      </c>
    </row>
    <row r="70" spans="1:12" x14ac:dyDescent="0.3">
      <c r="A70" s="4" t="s">
        <v>54</v>
      </c>
      <c r="B70" s="1" t="s">
        <v>76</v>
      </c>
      <c r="C70" s="1" t="s">
        <v>34</v>
      </c>
      <c r="D70" s="1">
        <v>1387.16</v>
      </c>
      <c r="E70" s="1">
        <v>226</v>
      </c>
      <c r="F70" s="1">
        <v>1069.28</v>
      </c>
      <c r="G70" s="1">
        <f>D70*Table1[[#This Row],[Quantity]]</f>
        <v>313498.16000000003</v>
      </c>
      <c r="H70" s="1">
        <f>Table1[[#This Row],[Current_Price]]*Table1[[#This Row],[Quantity]]</f>
        <v>241657.28</v>
      </c>
      <c r="I70" s="1">
        <f>Table1[[#This Row],[Current_Value]]-Table1[[#This Row],[Investment_Value]]</f>
        <v>-71840.880000000034</v>
      </c>
      <c r="J70" s="11">
        <f t="shared" si="2"/>
        <v>-0.22915885694512539</v>
      </c>
      <c r="K70" s="1" t="s">
        <v>30</v>
      </c>
      <c r="L70" s="1" t="s">
        <v>18</v>
      </c>
    </row>
    <row r="71" spans="1:12" x14ac:dyDescent="0.3">
      <c r="A71" s="4" t="s">
        <v>93</v>
      </c>
      <c r="B71" s="1" t="s">
        <v>14</v>
      </c>
      <c r="C71" s="1" t="s">
        <v>15</v>
      </c>
      <c r="D71" s="1">
        <v>1117.98</v>
      </c>
      <c r="E71" s="1">
        <v>277</v>
      </c>
      <c r="F71" s="1">
        <v>963.57</v>
      </c>
      <c r="G71" s="1">
        <f>D71*Table1[[#This Row],[Quantity]]</f>
        <v>309680.46000000002</v>
      </c>
      <c r="H71" s="1">
        <f>Table1[[#This Row],[Current_Price]]*Table1[[#This Row],[Quantity]]</f>
        <v>266908.89</v>
      </c>
      <c r="I71" s="1">
        <f>Table1[[#This Row],[Current_Value]]-Table1[[#This Row],[Investment_Value]]</f>
        <v>-42771.570000000007</v>
      </c>
      <c r="J71" s="11">
        <f t="shared" si="2"/>
        <v>-0.13811517200665488</v>
      </c>
      <c r="K71" s="1" t="s">
        <v>30</v>
      </c>
      <c r="L71" s="1" t="s">
        <v>12</v>
      </c>
    </row>
    <row r="72" spans="1:12" x14ac:dyDescent="0.3">
      <c r="A72" s="4" t="s">
        <v>75</v>
      </c>
      <c r="B72" s="1" t="s">
        <v>14</v>
      </c>
      <c r="C72" s="1" t="s">
        <v>15</v>
      </c>
      <c r="D72" s="1">
        <v>666.01</v>
      </c>
      <c r="E72" s="1">
        <v>440</v>
      </c>
      <c r="F72" s="1">
        <v>824.45</v>
      </c>
      <c r="G72" s="1">
        <f>D72*Table1[[#This Row],[Quantity]]</f>
        <v>293044.40000000002</v>
      </c>
      <c r="H72" s="1">
        <f>Table1[[#This Row],[Current_Price]]*Table1[[#This Row],[Quantity]]</f>
        <v>362758</v>
      </c>
      <c r="I72" s="1">
        <f>Table1[[#This Row],[Current_Value]]-Table1[[#This Row],[Investment_Value]]</f>
        <v>69713.599999999977</v>
      </c>
      <c r="J72" s="11">
        <f t="shared" si="2"/>
        <v>0.23789432591102225</v>
      </c>
      <c r="K72" s="1" t="s">
        <v>30</v>
      </c>
      <c r="L72" s="1" t="s">
        <v>16</v>
      </c>
    </row>
    <row r="73" spans="1:12" x14ac:dyDescent="0.3">
      <c r="A73" s="4" t="s">
        <v>112</v>
      </c>
      <c r="B73" s="1" t="s">
        <v>17</v>
      </c>
      <c r="C73" s="1" t="s">
        <v>15</v>
      </c>
      <c r="D73" s="1">
        <v>1025.04</v>
      </c>
      <c r="E73" s="1">
        <v>285</v>
      </c>
      <c r="F73" s="1">
        <v>1180.95</v>
      </c>
      <c r="G73" s="1">
        <f>D73*Table1[[#This Row],[Quantity]]</f>
        <v>292136.39999999997</v>
      </c>
      <c r="H73" s="1">
        <f>Table1[[#This Row],[Current_Price]]*Table1[[#This Row],[Quantity]]</f>
        <v>336570.75</v>
      </c>
      <c r="I73" s="1">
        <f>Table1[[#This Row],[Current_Value]]-Table1[[#This Row],[Investment_Value]]</f>
        <v>44434.350000000035</v>
      </c>
      <c r="J73" s="11">
        <f t="shared" si="2"/>
        <v>0.1521013814095061</v>
      </c>
      <c r="K73" s="1" t="s">
        <v>11</v>
      </c>
      <c r="L73" s="1" t="s">
        <v>12</v>
      </c>
    </row>
    <row r="74" spans="1:12" x14ac:dyDescent="0.3">
      <c r="A74" s="4" t="s">
        <v>68</v>
      </c>
      <c r="B74" s="1" t="s">
        <v>69</v>
      </c>
      <c r="C74" s="1" t="s">
        <v>15</v>
      </c>
      <c r="D74" s="1">
        <v>1862.81</v>
      </c>
      <c r="E74" s="1">
        <v>151</v>
      </c>
      <c r="F74" s="1">
        <v>1572.79</v>
      </c>
      <c r="G74" s="1">
        <f>D74*Table1[[#This Row],[Quantity]]</f>
        <v>281284.31</v>
      </c>
      <c r="H74" s="1">
        <f>Table1[[#This Row],[Current_Price]]*Table1[[#This Row],[Quantity]]</f>
        <v>237491.29</v>
      </c>
      <c r="I74" s="1">
        <f>Table1[[#This Row],[Current_Value]]-Table1[[#This Row],[Investment_Value]]</f>
        <v>-43793.01999999999</v>
      </c>
      <c r="J74" s="11">
        <f t="shared" si="2"/>
        <v>-0.15568952281767864</v>
      </c>
      <c r="K74" s="1" t="s">
        <v>35</v>
      </c>
      <c r="L74" s="1" t="s">
        <v>18</v>
      </c>
    </row>
    <row r="75" spans="1:12" x14ac:dyDescent="0.3">
      <c r="A75" s="4" t="s">
        <v>36</v>
      </c>
      <c r="B75" s="1" t="s">
        <v>33</v>
      </c>
      <c r="C75" s="1" t="s">
        <v>34</v>
      </c>
      <c r="D75" s="1">
        <v>1094.24</v>
      </c>
      <c r="E75" s="1">
        <v>256</v>
      </c>
      <c r="F75" s="1">
        <v>1139.71</v>
      </c>
      <c r="G75" s="1">
        <f>D75*Table1[[#This Row],[Quantity]]</f>
        <v>280125.44</v>
      </c>
      <c r="H75" s="1">
        <f>Table1[[#This Row],[Current_Price]]*Table1[[#This Row],[Quantity]]</f>
        <v>291765.76000000001</v>
      </c>
      <c r="I75" s="1">
        <f>Table1[[#This Row],[Current_Value]]-Table1[[#This Row],[Investment_Value]]</f>
        <v>11640.320000000007</v>
      </c>
      <c r="J75" s="11">
        <f t="shared" si="2"/>
        <v>4.1553955256616489E-2</v>
      </c>
      <c r="K75" s="1" t="s">
        <v>30</v>
      </c>
      <c r="L75" s="1" t="s">
        <v>12</v>
      </c>
    </row>
    <row r="76" spans="1:12" x14ac:dyDescent="0.3">
      <c r="A76" s="4" t="s">
        <v>92</v>
      </c>
      <c r="B76" s="1" t="s">
        <v>55</v>
      </c>
      <c r="C76" s="1" t="s">
        <v>56</v>
      </c>
      <c r="D76" s="1">
        <v>3455.37</v>
      </c>
      <c r="E76" s="1">
        <v>77</v>
      </c>
      <c r="F76" s="1">
        <v>3528.45</v>
      </c>
      <c r="G76" s="1">
        <f>D76*Table1[[#This Row],[Quantity]]</f>
        <v>266063.49</v>
      </c>
      <c r="H76" s="1">
        <f>Table1[[#This Row],[Current_Price]]*Table1[[#This Row],[Quantity]]</f>
        <v>271690.64999999997</v>
      </c>
      <c r="I76" s="1">
        <f>Table1[[#This Row],[Current_Value]]-Table1[[#This Row],[Investment_Value]]</f>
        <v>5627.1599999999744</v>
      </c>
      <c r="J76" s="11">
        <f t="shared" si="2"/>
        <v>2.1149688745344109E-2</v>
      </c>
      <c r="K76" s="1" t="s">
        <v>22</v>
      </c>
      <c r="L76" s="1" t="s">
        <v>18</v>
      </c>
    </row>
    <row r="77" spans="1:12" x14ac:dyDescent="0.3">
      <c r="A77" s="4" t="s">
        <v>62</v>
      </c>
      <c r="B77" s="1" t="s">
        <v>76</v>
      </c>
      <c r="C77" s="1" t="s">
        <v>34</v>
      </c>
      <c r="D77" s="1">
        <v>1108.29</v>
      </c>
      <c r="E77" s="1">
        <v>228</v>
      </c>
      <c r="F77" s="1">
        <v>1464.72</v>
      </c>
      <c r="G77" s="1">
        <f>D77*Table1[[#This Row],[Quantity]]</f>
        <v>252690.12</v>
      </c>
      <c r="H77" s="1">
        <f>Table1[[#This Row],[Current_Price]]*Table1[[#This Row],[Quantity]]</f>
        <v>333956.16000000003</v>
      </c>
      <c r="I77" s="1">
        <f>Table1[[#This Row],[Current_Value]]-Table1[[#This Row],[Investment_Value]]</f>
        <v>81266.040000000037</v>
      </c>
      <c r="J77" s="11">
        <f t="shared" si="2"/>
        <v>0.32160355141704805</v>
      </c>
      <c r="K77" s="1" t="s">
        <v>37</v>
      </c>
      <c r="L77" s="1" t="s">
        <v>12</v>
      </c>
    </row>
    <row r="78" spans="1:12" x14ac:dyDescent="0.3">
      <c r="A78" s="4" t="s">
        <v>85</v>
      </c>
      <c r="B78" s="1" t="s">
        <v>24</v>
      </c>
      <c r="C78" s="1" t="s">
        <v>25</v>
      </c>
      <c r="D78" s="1">
        <v>922.77</v>
      </c>
      <c r="E78" s="1">
        <v>264</v>
      </c>
      <c r="F78" s="1">
        <v>3121.1</v>
      </c>
      <c r="G78" s="1">
        <f>D78*Table1[[#This Row],[Quantity]]</f>
        <v>243611.28</v>
      </c>
      <c r="H78" s="1">
        <f>Table1[[#This Row],[Current_Price]]*Table1[[#This Row],[Quantity]]</f>
        <v>823970.4</v>
      </c>
      <c r="I78" s="1">
        <f>Table1[[#This Row],[Current_Value]]-Table1[[#This Row],[Investment_Value]]</f>
        <v>580359.12</v>
      </c>
      <c r="J78" s="11">
        <f t="shared" si="2"/>
        <v>2.3823162868320384</v>
      </c>
      <c r="K78" s="1" t="s">
        <v>30</v>
      </c>
      <c r="L78" s="1" t="s">
        <v>12</v>
      </c>
    </row>
    <row r="79" spans="1:12" x14ac:dyDescent="0.3">
      <c r="A79" s="4" t="s">
        <v>89</v>
      </c>
      <c r="B79" s="1" t="s">
        <v>121</v>
      </c>
      <c r="C79" s="1" t="s">
        <v>122</v>
      </c>
      <c r="D79" s="1">
        <v>595.6</v>
      </c>
      <c r="E79" s="1">
        <v>401</v>
      </c>
      <c r="F79" s="1">
        <v>673.65</v>
      </c>
      <c r="G79" s="1">
        <f>D79*Table1[[#This Row],[Quantity]]</f>
        <v>238835.6</v>
      </c>
      <c r="H79" s="1">
        <f>Table1[[#This Row],[Current_Price]]*Table1[[#This Row],[Quantity]]</f>
        <v>270133.64999999997</v>
      </c>
      <c r="I79" s="1">
        <f>Table1[[#This Row],[Current_Value]]-Table1[[#This Row],[Investment_Value]]</f>
        <v>31298.049999999959</v>
      </c>
      <c r="J79" s="11">
        <f t="shared" si="2"/>
        <v>0.1310443250503692</v>
      </c>
      <c r="K79" s="1" t="s">
        <v>11</v>
      </c>
      <c r="L79" s="1" t="s">
        <v>16</v>
      </c>
    </row>
    <row r="80" spans="1:12" x14ac:dyDescent="0.3">
      <c r="A80" s="4" t="s">
        <v>94</v>
      </c>
      <c r="B80" s="1" t="s">
        <v>55</v>
      </c>
      <c r="C80" s="1" t="s">
        <v>56</v>
      </c>
      <c r="D80" s="1">
        <v>3697.99</v>
      </c>
      <c r="E80" s="1">
        <v>64</v>
      </c>
      <c r="F80" s="1">
        <v>4287.63</v>
      </c>
      <c r="G80" s="1">
        <f>D80*Table1[[#This Row],[Quantity]]</f>
        <v>236671.35999999999</v>
      </c>
      <c r="H80" s="1">
        <f>Table1[[#This Row],[Current_Price]]*Table1[[#This Row],[Quantity]]</f>
        <v>274408.32000000001</v>
      </c>
      <c r="I80" s="1">
        <f>Table1[[#This Row],[Current_Value]]-Table1[[#This Row],[Investment_Value]]</f>
        <v>37736.960000000021</v>
      </c>
      <c r="J80" s="11">
        <f t="shared" si="2"/>
        <v>0.15944878163542908</v>
      </c>
      <c r="K80" s="1" t="s">
        <v>22</v>
      </c>
      <c r="L80" s="1" t="s">
        <v>18</v>
      </c>
    </row>
    <row r="81" spans="1:12" x14ac:dyDescent="0.3">
      <c r="A81" s="4" t="s">
        <v>108</v>
      </c>
      <c r="B81" s="1" t="s">
        <v>26</v>
      </c>
      <c r="C81" s="1" t="s">
        <v>27</v>
      </c>
      <c r="D81" s="1">
        <v>2146.0100000000002</v>
      </c>
      <c r="E81" s="1">
        <v>106</v>
      </c>
      <c r="F81" s="1">
        <v>2695.02</v>
      </c>
      <c r="G81" s="1">
        <f>D81*Table1[[#This Row],[Quantity]]</f>
        <v>227477.06000000003</v>
      </c>
      <c r="H81" s="1">
        <f>Table1[[#This Row],[Current_Price]]*Table1[[#This Row],[Quantity]]</f>
        <v>285672.12</v>
      </c>
      <c r="I81" s="1">
        <f>Table1[[#This Row],[Current_Value]]-Table1[[#This Row],[Investment_Value]]</f>
        <v>58195.059999999969</v>
      </c>
      <c r="J81" s="11">
        <f t="shared" si="2"/>
        <v>0.25582825802302861</v>
      </c>
      <c r="K81" s="1" t="s">
        <v>37</v>
      </c>
      <c r="L81" s="1" t="s">
        <v>16</v>
      </c>
    </row>
    <row r="82" spans="1:12" x14ac:dyDescent="0.3">
      <c r="A82" s="4" t="s">
        <v>81</v>
      </c>
      <c r="B82" s="1" t="s">
        <v>55</v>
      </c>
      <c r="C82" s="1" t="s">
        <v>56</v>
      </c>
      <c r="D82" s="1">
        <v>783.74</v>
      </c>
      <c r="E82" s="1">
        <v>284</v>
      </c>
      <c r="F82" s="1">
        <v>806.43</v>
      </c>
      <c r="G82" s="1">
        <f>D82*Table1[[#This Row],[Quantity]]</f>
        <v>222582.16</v>
      </c>
      <c r="H82" s="1">
        <f>Table1[[#This Row],[Current_Price]]*Table1[[#This Row],[Quantity]]</f>
        <v>229026.12</v>
      </c>
      <c r="I82" s="1">
        <f>Table1[[#This Row],[Current_Value]]-Table1[[#This Row],[Investment_Value]]</f>
        <v>6443.9599999999919</v>
      </c>
      <c r="J82" s="11">
        <f t="shared" si="2"/>
        <v>2.8950927603541954E-2</v>
      </c>
      <c r="K82" s="1" t="s">
        <v>37</v>
      </c>
      <c r="L82" s="1" t="s">
        <v>18</v>
      </c>
    </row>
    <row r="83" spans="1:12" x14ac:dyDescent="0.3">
      <c r="A83" s="4" t="s">
        <v>100</v>
      </c>
      <c r="B83" s="1" t="s">
        <v>88</v>
      </c>
      <c r="C83" s="1" t="s">
        <v>43</v>
      </c>
      <c r="D83" s="1">
        <v>843.15</v>
      </c>
      <c r="E83" s="1">
        <v>247</v>
      </c>
      <c r="F83" s="1">
        <v>923.65</v>
      </c>
      <c r="G83" s="1">
        <f>D83*Table1[[#This Row],[Quantity]]</f>
        <v>208258.05</v>
      </c>
      <c r="H83" s="1">
        <f>Table1[[#This Row],[Current_Price]]*Table1[[#This Row],[Quantity]]</f>
        <v>228141.55</v>
      </c>
      <c r="I83" s="1">
        <f>Table1[[#This Row],[Current_Value]]-Table1[[#This Row],[Investment_Value]]</f>
        <v>19883.5</v>
      </c>
      <c r="J83" s="11">
        <f t="shared" si="2"/>
        <v>9.5475300954753012E-2</v>
      </c>
      <c r="K83" s="1" t="s">
        <v>37</v>
      </c>
      <c r="L83" s="1" t="s">
        <v>18</v>
      </c>
    </row>
    <row r="84" spans="1:12" x14ac:dyDescent="0.3">
      <c r="A84" s="4" t="s">
        <v>82</v>
      </c>
      <c r="B84" s="1" t="s">
        <v>29</v>
      </c>
      <c r="C84" s="1" t="s">
        <v>15</v>
      </c>
      <c r="D84" s="1">
        <v>821.31</v>
      </c>
      <c r="E84" s="1">
        <v>240</v>
      </c>
      <c r="F84" s="1">
        <v>706.64</v>
      </c>
      <c r="G84" s="1">
        <f>D84*Table1[[#This Row],[Quantity]]</f>
        <v>197114.4</v>
      </c>
      <c r="H84" s="1">
        <f>Table1[[#This Row],[Current_Price]]*Table1[[#This Row],[Quantity]]</f>
        <v>169593.60000000001</v>
      </c>
      <c r="I84" s="1">
        <f>Table1[[#This Row],[Current_Value]]-Table1[[#This Row],[Investment_Value]]</f>
        <v>-27520.799999999988</v>
      </c>
      <c r="J84" s="11">
        <f t="shared" si="2"/>
        <v>-0.13961841448417767</v>
      </c>
      <c r="K84" s="1" t="s">
        <v>11</v>
      </c>
      <c r="L84" s="1" t="s">
        <v>12</v>
      </c>
    </row>
    <row r="85" spans="1:12" x14ac:dyDescent="0.3">
      <c r="A85" s="4" t="s">
        <v>65</v>
      </c>
      <c r="B85" s="1" t="s">
        <v>24</v>
      </c>
      <c r="C85" s="1" t="s">
        <v>25</v>
      </c>
      <c r="D85" s="1">
        <v>510.1</v>
      </c>
      <c r="E85" s="1">
        <v>380</v>
      </c>
      <c r="F85" s="1">
        <v>456.58</v>
      </c>
      <c r="G85" s="1">
        <f>D85*Table1[[#This Row],[Quantity]]</f>
        <v>193838</v>
      </c>
      <c r="H85" s="1">
        <f>Table1[[#This Row],[Current_Price]]*Table1[[#This Row],[Quantity]]</f>
        <v>173500.4</v>
      </c>
      <c r="I85" s="1">
        <f>Table1[[#This Row],[Current_Value]]-Table1[[#This Row],[Investment_Value]]</f>
        <v>-20337.600000000006</v>
      </c>
      <c r="J85" s="11">
        <f t="shared" si="2"/>
        <v>-0.10492060380317587</v>
      </c>
      <c r="K85" s="1" t="s">
        <v>37</v>
      </c>
      <c r="L85" s="1" t="s">
        <v>16</v>
      </c>
    </row>
    <row r="86" spans="1:12" x14ac:dyDescent="0.3">
      <c r="A86" s="4" t="s">
        <v>23</v>
      </c>
      <c r="B86" s="1" t="s">
        <v>24</v>
      </c>
      <c r="C86" s="1" t="s">
        <v>25</v>
      </c>
      <c r="D86" s="1">
        <v>3928.23</v>
      </c>
      <c r="E86" s="1">
        <v>49</v>
      </c>
      <c r="F86" s="1">
        <v>3765.32</v>
      </c>
      <c r="G86" s="1">
        <f>D86*Table1[[#This Row],[Quantity]]</f>
        <v>192483.27</v>
      </c>
      <c r="H86" s="1">
        <f>Table1[[#This Row],[Current_Price]]*Table1[[#This Row],[Quantity]]</f>
        <v>184500.68000000002</v>
      </c>
      <c r="I86" s="1">
        <f>Table1[[#This Row],[Current_Value]]-Table1[[#This Row],[Investment_Value]]</f>
        <v>-7982.5899999999674</v>
      </c>
      <c r="J86" s="11">
        <f t="shared" si="2"/>
        <v>-4.147160425942456E-2</v>
      </c>
      <c r="K86" s="1" t="s">
        <v>11</v>
      </c>
      <c r="L86" s="1" t="s">
        <v>16</v>
      </c>
    </row>
    <row r="87" spans="1:12" x14ac:dyDescent="0.3">
      <c r="A87" s="4" t="s">
        <v>39</v>
      </c>
      <c r="B87" s="1" t="s">
        <v>47</v>
      </c>
      <c r="C87" s="1" t="s">
        <v>48</v>
      </c>
      <c r="D87" s="1">
        <v>405.13</v>
      </c>
      <c r="E87" s="1">
        <v>474</v>
      </c>
      <c r="F87" s="1">
        <v>328.04</v>
      </c>
      <c r="G87" s="1">
        <f>D87*Table1[[#This Row],[Quantity]]</f>
        <v>192031.62</v>
      </c>
      <c r="H87" s="1">
        <f>Table1[[#This Row],[Current_Price]]*Table1[[#This Row],[Quantity]]</f>
        <v>155490.96000000002</v>
      </c>
      <c r="I87" s="1">
        <f>Table1[[#This Row],[Current_Value]]-Table1[[#This Row],[Investment_Value]]</f>
        <v>-36540.659999999974</v>
      </c>
      <c r="J87" s="11">
        <f t="shared" si="2"/>
        <v>-0.19028460000493655</v>
      </c>
      <c r="K87" s="1" t="s">
        <v>37</v>
      </c>
      <c r="L87" s="1" t="s">
        <v>12</v>
      </c>
    </row>
    <row r="88" spans="1:12" x14ac:dyDescent="0.3">
      <c r="A88" s="4" t="s">
        <v>23</v>
      </c>
      <c r="B88" s="1" t="s">
        <v>105</v>
      </c>
      <c r="C88" s="1" t="s">
        <v>10</v>
      </c>
      <c r="D88" s="1">
        <v>608.46</v>
      </c>
      <c r="E88" s="1">
        <v>310</v>
      </c>
      <c r="F88" s="1">
        <v>640.34</v>
      </c>
      <c r="G88" s="1">
        <f>D88*Table1[[#This Row],[Quantity]]</f>
        <v>188622.6</v>
      </c>
      <c r="H88" s="1">
        <f>Table1[[#This Row],[Current_Price]]*Table1[[#This Row],[Quantity]]</f>
        <v>198505.40000000002</v>
      </c>
      <c r="I88" s="1">
        <f>Table1[[#This Row],[Current_Value]]-Table1[[#This Row],[Investment_Value]]</f>
        <v>9882.8000000000175</v>
      </c>
      <c r="J88" s="11">
        <f t="shared" si="2"/>
        <v>5.2394569897774801E-2</v>
      </c>
      <c r="K88" s="1" t="s">
        <v>35</v>
      </c>
      <c r="L88" s="1" t="s">
        <v>12</v>
      </c>
    </row>
    <row r="89" spans="1:12" x14ac:dyDescent="0.3">
      <c r="A89" s="4" t="s">
        <v>103</v>
      </c>
      <c r="B89" s="1" t="s">
        <v>70</v>
      </c>
      <c r="C89" s="1" t="s">
        <v>71</v>
      </c>
      <c r="D89" s="1">
        <v>1146.8900000000001</v>
      </c>
      <c r="E89" s="1">
        <v>142</v>
      </c>
      <c r="F89" s="1">
        <v>1166.5999999999999</v>
      </c>
      <c r="G89" s="1">
        <f>D89*Table1[[#This Row],[Quantity]]</f>
        <v>162858.38</v>
      </c>
      <c r="H89" s="1">
        <f>Table1[[#This Row],[Current_Price]]*Table1[[#This Row],[Quantity]]</f>
        <v>165657.19999999998</v>
      </c>
      <c r="I89" s="1">
        <f>Table1[[#This Row],[Current_Value]]-Table1[[#This Row],[Investment_Value]]</f>
        <v>2798.8199999999779</v>
      </c>
      <c r="J89" s="11">
        <f t="shared" si="2"/>
        <v>1.7185606291797682E-2</v>
      </c>
      <c r="K89" s="1" t="s">
        <v>22</v>
      </c>
      <c r="L89" s="1" t="s">
        <v>12</v>
      </c>
    </row>
    <row r="90" spans="1:12" x14ac:dyDescent="0.3">
      <c r="A90" s="4" t="s">
        <v>86</v>
      </c>
      <c r="B90" s="1" t="s">
        <v>50</v>
      </c>
      <c r="C90" s="1" t="s">
        <v>21</v>
      </c>
      <c r="D90" s="1">
        <v>4413.92</v>
      </c>
      <c r="E90" s="1">
        <v>36</v>
      </c>
      <c r="F90" s="1">
        <v>4376.75</v>
      </c>
      <c r="G90" s="1">
        <f>D90*Table1[[#This Row],[Quantity]]</f>
        <v>158901.12</v>
      </c>
      <c r="H90" s="1">
        <f>Table1[[#This Row],[Current_Price]]*Table1[[#This Row],[Quantity]]</f>
        <v>157563</v>
      </c>
      <c r="I90" s="1">
        <f>Table1[[#This Row],[Current_Value]]-Table1[[#This Row],[Investment_Value]]</f>
        <v>-1338.1199999999953</v>
      </c>
      <c r="J90" s="11">
        <f t="shared" si="2"/>
        <v>-8.4210860187769309E-3</v>
      </c>
      <c r="K90" s="1" t="s">
        <v>22</v>
      </c>
      <c r="L90" s="1" t="s">
        <v>12</v>
      </c>
    </row>
    <row r="91" spans="1:12" x14ac:dyDescent="0.3">
      <c r="A91" s="4" t="s">
        <v>75</v>
      </c>
      <c r="B91" s="1" t="s">
        <v>55</v>
      </c>
      <c r="C91" s="1" t="s">
        <v>56</v>
      </c>
      <c r="D91" s="1">
        <v>4562.46</v>
      </c>
      <c r="E91" s="1">
        <v>33</v>
      </c>
      <c r="F91" s="1">
        <v>3818.63</v>
      </c>
      <c r="G91" s="1">
        <f>D91*Table1[[#This Row],[Quantity]]</f>
        <v>150561.18</v>
      </c>
      <c r="H91" s="1">
        <f>Table1[[#This Row],[Current_Price]]*Table1[[#This Row],[Quantity]]</f>
        <v>126014.79000000001</v>
      </c>
      <c r="I91" s="1">
        <f>Table1[[#This Row],[Current_Value]]-Table1[[#This Row],[Investment_Value]]</f>
        <v>-24546.389999999985</v>
      </c>
      <c r="J91" s="11">
        <f t="shared" si="2"/>
        <v>-0.16303266220416171</v>
      </c>
      <c r="K91" s="1" t="s">
        <v>30</v>
      </c>
      <c r="L91" s="1" t="s">
        <v>12</v>
      </c>
    </row>
    <row r="92" spans="1:12" x14ac:dyDescent="0.3">
      <c r="A92" s="4" t="s">
        <v>49</v>
      </c>
      <c r="B92" s="1" t="s">
        <v>50</v>
      </c>
      <c r="C92" s="1" t="s">
        <v>21</v>
      </c>
      <c r="D92" s="1">
        <v>392.39</v>
      </c>
      <c r="E92" s="1">
        <v>370</v>
      </c>
      <c r="F92" s="1">
        <v>299.19</v>
      </c>
      <c r="G92" s="1">
        <f>D92*Table1[[#This Row],[Quantity]]</f>
        <v>145184.29999999999</v>
      </c>
      <c r="H92" s="1">
        <f>Table1[[#This Row],[Current_Price]]*Table1[[#This Row],[Quantity]]</f>
        <v>110700.3</v>
      </c>
      <c r="I92" s="1">
        <f>Table1[[#This Row],[Current_Value]]-Table1[[#This Row],[Investment_Value]]</f>
        <v>-34483.999999999985</v>
      </c>
      <c r="J92" s="11">
        <f t="shared" si="2"/>
        <v>-0.23751879507632703</v>
      </c>
      <c r="K92" s="1" t="s">
        <v>35</v>
      </c>
      <c r="L92" s="1" t="s">
        <v>16</v>
      </c>
    </row>
    <row r="93" spans="1:12" x14ac:dyDescent="0.3">
      <c r="A93" s="4" t="s">
        <v>111</v>
      </c>
      <c r="B93" s="1" t="s">
        <v>29</v>
      </c>
      <c r="C93" s="1" t="s">
        <v>15</v>
      </c>
      <c r="D93" s="1">
        <v>3236.09</v>
      </c>
      <c r="E93" s="1">
        <v>43</v>
      </c>
      <c r="F93" s="1">
        <v>3669.26</v>
      </c>
      <c r="G93" s="1">
        <f>D93*Table1[[#This Row],[Quantity]]</f>
        <v>139151.87</v>
      </c>
      <c r="H93" s="1">
        <f>Table1[[#This Row],[Current_Price]]*Table1[[#This Row],[Quantity]]</f>
        <v>157778.18000000002</v>
      </c>
      <c r="I93" s="1">
        <f>Table1[[#This Row],[Current_Value]]-Table1[[#This Row],[Investment_Value]]</f>
        <v>18626.310000000027</v>
      </c>
      <c r="J93" s="11">
        <f t="shared" si="2"/>
        <v>0.13385598051970143</v>
      </c>
      <c r="K93" s="1" t="s">
        <v>11</v>
      </c>
      <c r="L93" s="1" t="s">
        <v>18</v>
      </c>
    </row>
    <row r="94" spans="1:12" x14ac:dyDescent="0.3">
      <c r="A94" s="4" t="s">
        <v>31</v>
      </c>
      <c r="B94" s="1" t="s">
        <v>29</v>
      </c>
      <c r="C94" s="1" t="s">
        <v>15</v>
      </c>
      <c r="D94" s="1">
        <v>938.22</v>
      </c>
      <c r="E94" s="1">
        <v>144</v>
      </c>
      <c r="F94" s="1">
        <v>805.78</v>
      </c>
      <c r="G94" s="1">
        <f>D94*Table1[[#This Row],[Quantity]]</f>
        <v>135103.67999999999</v>
      </c>
      <c r="H94" s="1">
        <f>Table1[[#This Row],[Current_Price]]*Table1[[#This Row],[Quantity]]</f>
        <v>116032.31999999999</v>
      </c>
      <c r="I94" s="1">
        <f>Table1[[#This Row],[Current_Value]]-Table1[[#This Row],[Investment_Value]]</f>
        <v>-19071.36</v>
      </c>
      <c r="J94" s="11">
        <f t="shared" si="2"/>
        <v>-0.14116092174543285</v>
      </c>
      <c r="K94" s="1" t="s">
        <v>30</v>
      </c>
      <c r="L94" s="1" t="s">
        <v>16</v>
      </c>
    </row>
    <row r="95" spans="1:12" x14ac:dyDescent="0.3">
      <c r="A95" s="4" t="s">
        <v>38</v>
      </c>
      <c r="B95" s="1" t="s">
        <v>26</v>
      </c>
      <c r="C95" s="1" t="s">
        <v>27</v>
      </c>
      <c r="D95" s="1">
        <v>762.37</v>
      </c>
      <c r="E95" s="1">
        <v>171</v>
      </c>
      <c r="F95" s="1">
        <v>846.13</v>
      </c>
      <c r="G95" s="1">
        <f>D95*Table1[[#This Row],[Quantity]]</f>
        <v>130365.27</v>
      </c>
      <c r="H95" s="1">
        <f>Table1[[#This Row],[Current_Price]]*Table1[[#This Row],[Quantity]]</f>
        <v>144688.23000000001</v>
      </c>
      <c r="I95" s="1">
        <f>Table1[[#This Row],[Current_Value]]-Table1[[#This Row],[Investment_Value]]</f>
        <v>14322.960000000006</v>
      </c>
      <c r="J95" s="11">
        <f t="shared" si="2"/>
        <v>0.10986791190629226</v>
      </c>
      <c r="K95" s="1" t="s">
        <v>37</v>
      </c>
      <c r="L95" s="1" t="s">
        <v>16</v>
      </c>
    </row>
    <row r="96" spans="1:12" x14ac:dyDescent="0.3">
      <c r="A96" s="4" t="s">
        <v>58</v>
      </c>
      <c r="B96" s="1" t="s">
        <v>17</v>
      </c>
      <c r="C96" s="1" t="s">
        <v>15</v>
      </c>
      <c r="D96" s="1">
        <v>249.78</v>
      </c>
      <c r="E96" s="1">
        <v>464</v>
      </c>
      <c r="F96" s="1">
        <v>221.68</v>
      </c>
      <c r="G96" s="1">
        <f>D96*Table1[[#This Row],[Quantity]]</f>
        <v>115897.92</v>
      </c>
      <c r="H96" s="1">
        <f>Table1[[#This Row],[Current_Price]]*Table1[[#This Row],[Quantity]]</f>
        <v>102859.52</v>
      </c>
      <c r="I96" s="1">
        <f>Table1[[#This Row],[Current_Value]]-Table1[[#This Row],[Investment_Value]]</f>
        <v>-13038.399999999994</v>
      </c>
      <c r="J96" s="11">
        <f t="shared" si="2"/>
        <v>-0.11249899911922487</v>
      </c>
      <c r="K96" s="1" t="s">
        <v>35</v>
      </c>
      <c r="L96" s="1" t="s">
        <v>18</v>
      </c>
    </row>
    <row r="97" spans="1:12" x14ac:dyDescent="0.3">
      <c r="A97" s="4" t="s">
        <v>31</v>
      </c>
      <c r="B97" s="1" t="s">
        <v>50</v>
      </c>
      <c r="C97" s="1" t="s">
        <v>21</v>
      </c>
      <c r="D97" s="1">
        <v>445.6</v>
      </c>
      <c r="E97" s="1">
        <v>253</v>
      </c>
      <c r="F97" s="1">
        <v>470.55</v>
      </c>
      <c r="G97" s="1">
        <f>D97*Table1[[#This Row],[Quantity]]</f>
        <v>112736.8</v>
      </c>
      <c r="H97" s="1">
        <f>Table1[[#This Row],[Current_Price]]*Table1[[#This Row],[Quantity]]</f>
        <v>119049.15000000001</v>
      </c>
      <c r="I97" s="1">
        <f>Table1[[#This Row],[Current_Value]]-Table1[[#This Row],[Investment_Value]]</f>
        <v>6312.3500000000058</v>
      </c>
      <c r="J97" s="11">
        <f t="shared" si="2"/>
        <v>5.5991921005386046E-2</v>
      </c>
      <c r="K97" s="1" t="s">
        <v>11</v>
      </c>
      <c r="L97" s="1" t="s">
        <v>16</v>
      </c>
    </row>
    <row r="98" spans="1:12" x14ac:dyDescent="0.3">
      <c r="A98" s="4" t="s">
        <v>62</v>
      </c>
      <c r="B98" s="1" t="s">
        <v>60</v>
      </c>
      <c r="C98" s="1" t="s">
        <v>61</v>
      </c>
      <c r="D98" s="1">
        <v>4212.8100000000004</v>
      </c>
      <c r="E98" s="1">
        <v>26</v>
      </c>
      <c r="F98" s="1">
        <v>3875.06</v>
      </c>
      <c r="G98" s="1">
        <f>D98*Table1[[#This Row],[Quantity]]</f>
        <v>109533.06000000001</v>
      </c>
      <c r="H98" s="1">
        <f>Table1[[#This Row],[Current_Price]]*Table1[[#This Row],[Quantity]]</f>
        <v>100751.56</v>
      </c>
      <c r="I98" s="1">
        <f>Table1[[#This Row],[Current_Value]]-Table1[[#This Row],[Investment_Value]]</f>
        <v>-8781.5000000000146</v>
      </c>
      <c r="J98" s="11">
        <f t="shared" si="2"/>
        <v>-8.0172141634681018E-2</v>
      </c>
      <c r="K98" s="1" t="s">
        <v>35</v>
      </c>
      <c r="L98" s="1" t="s">
        <v>18</v>
      </c>
    </row>
    <row r="99" spans="1:12" x14ac:dyDescent="0.3">
      <c r="A99" s="4" t="s">
        <v>92</v>
      </c>
      <c r="B99" s="1" t="s">
        <v>42</v>
      </c>
      <c r="C99" s="1" t="s">
        <v>43</v>
      </c>
      <c r="D99" s="1">
        <v>1799.93</v>
      </c>
      <c r="E99" s="1">
        <v>49</v>
      </c>
      <c r="F99" s="1">
        <v>2319.13</v>
      </c>
      <c r="G99" s="1">
        <f>D99*Table1[[#This Row],[Quantity]]</f>
        <v>88196.57</v>
      </c>
      <c r="H99" s="1">
        <f>Table1[[#This Row],[Current_Price]]*Table1[[#This Row],[Quantity]]</f>
        <v>113637.37000000001</v>
      </c>
      <c r="I99" s="1">
        <f>Table1[[#This Row],[Current_Value]]-Table1[[#This Row],[Investment_Value]]</f>
        <v>25440.800000000003</v>
      </c>
      <c r="J99" s="11">
        <f t="shared" si="2"/>
        <v>0.28845566216463975</v>
      </c>
      <c r="K99" s="1" t="s">
        <v>37</v>
      </c>
      <c r="L99" s="1" t="s">
        <v>18</v>
      </c>
    </row>
    <row r="100" spans="1:12" x14ac:dyDescent="0.3">
      <c r="A100" s="4" t="s">
        <v>80</v>
      </c>
      <c r="B100" s="1" t="s">
        <v>42</v>
      </c>
      <c r="C100" s="1" t="s">
        <v>43</v>
      </c>
      <c r="D100" s="1">
        <v>1793.02</v>
      </c>
      <c r="E100" s="1">
        <v>44</v>
      </c>
      <c r="F100" s="1">
        <v>1454.95</v>
      </c>
      <c r="G100" s="1">
        <f>D100*Table1[[#This Row],[Quantity]]</f>
        <v>78892.88</v>
      </c>
      <c r="H100" s="1">
        <f>Table1[[#This Row],[Current_Price]]*Table1[[#This Row],[Quantity]]</f>
        <v>64017.8</v>
      </c>
      <c r="I100" s="1">
        <f>Table1[[#This Row],[Current_Value]]-Table1[[#This Row],[Investment_Value]]</f>
        <v>-14875.080000000002</v>
      </c>
      <c r="J100" s="11">
        <f t="shared" si="2"/>
        <v>-0.18854781318669062</v>
      </c>
      <c r="K100" s="1" t="s">
        <v>11</v>
      </c>
      <c r="L100" s="1" t="s">
        <v>16</v>
      </c>
    </row>
    <row r="101" spans="1:12" x14ac:dyDescent="0.3">
      <c r="A101" s="4" t="s">
        <v>123</v>
      </c>
      <c r="B101" s="1" t="s">
        <v>55</v>
      </c>
      <c r="C101" s="1" t="s">
        <v>56</v>
      </c>
      <c r="D101" s="1">
        <v>1896.08</v>
      </c>
      <c r="E101" s="1">
        <v>38</v>
      </c>
      <c r="F101" s="1">
        <v>2112.91</v>
      </c>
      <c r="G101" s="1">
        <f>D101*Table1[[#This Row],[Quantity]]</f>
        <v>72051.039999999994</v>
      </c>
      <c r="H101" s="1">
        <f>Table1[[#This Row],[Current_Price]]*Table1[[#This Row],[Quantity]]</f>
        <v>80290.579999999987</v>
      </c>
      <c r="I101" s="1">
        <f>Table1[[#This Row],[Current_Value]]-Table1[[#This Row],[Investment_Value]]</f>
        <v>8239.5399999999936</v>
      </c>
      <c r="J101" s="11">
        <f t="shared" ref="J101:J119" si="3">((H101-G101)/G101)</f>
        <v>0.11435698915657559</v>
      </c>
      <c r="K101" s="1" t="s">
        <v>11</v>
      </c>
      <c r="L101" s="1" t="s">
        <v>12</v>
      </c>
    </row>
    <row r="102" spans="1:12" x14ac:dyDescent="0.3">
      <c r="A102" s="4" t="s">
        <v>125</v>
      </c>
      <c r="B102" s="1" t="s">
        <v>9</v>
      </c>
      <c r="C102" s="1" t="s">
        <v>10</v>
      </c>
      <c r="D102" s="1">
        <v>852.2</v>
      </c>
      <c r="E102" s="1">
        <v>81</v>
      </c>
      <c r="F102" s="1">
        <v>830.89</v>
      </c>
      <c r="G102" s="1">
        <f>D102*Table1[[#This Row],[Quantity]]</f>
        <v>69028.2</v>
      </c>
      <c r="H102" s="1">
        <f>Table1[[#This Row],[Current_Price]]*Table1[[#This Row],[Quantity]]</f>
        <v>67302.09</v>
      </c>
      <c r="I102" s="1">
        <f>Table1[[#This Row],[Current_Value]]-Table1[[#This Row],[Investment_Value]]</f>
        <v>-1726.1100000000006</v>
      </c>
      <c r="J102" s="11">
        <f t="shared" si="3"/>
        <v>-2.5005867167331622E-2</v>
      </c>
      <c r="K102" s="1" t="s">
        <v>11</v>
      </c>
      <c r="L102" s="1" t="s">
        <v>16</v>
      </c>
    </row>
    <row r="103" spans="1:12" x14ac:dyDescent="0.3">
      <c r="A103" s="4" t="s">
        <v>106</v>
      </c>
      <c r="B103" s="1" t="s">
        <v>60</v>
      </c>
      <c r="C103" s="1" t="s">
        <v>61</v>
      </c>
      <c r="D103" s="1">
        <v>271.93</v>
      </c>
      <c r="E103" s="1">
        <v>241</v>
      </c>
      <c r="F103" s="1">
        <v>205.96</v>
      </c>
      <c r="G103" s="1">
        <f>D103*Table1[[#This Row],[Quantity]]</f>
        <v>65535.130000000005</v>
      </c>
      <c r="H103" s="1">
        <f>Table1[[#This Row],[Current_Price]]*Table1[[#This Row],[Quantity]]</f>
        <v>49636.36</v>
      </c>
      <c r="I103" s="1">
        <f>Table1[[#This Row],[Current_Value]]-Table1[[#This Row],[Investment_Value]]</f>
        <v>-15898.770000000004</v>
      </c>
      <c r="J103" s="11">
        <f t="shared" si="3"/>
        <v>-0.2425991983230979</v>
      </c>
      <c r="K103" s="1" t="s">
        <v>30</v>
      </c>
      <c r="L103" s="1" t="s">
        <v>18</v>
      </c>
    </row>
    <row r="104" spans="1:12" x14ac:dyDescent="0.3">
      <c r="A104" s="4" t="s">
        <v>89</v>
      </c>
      <c r="B104" s="1" t="s">
        <v>88</v>
      </c>
      <c r="C104" s="1" t="s">
        <v>43</v>
      </c>
      <c r="D104" s="1">
        <v>132.08000000000001</v>
      </c>
      <c r="E104" s="1">
        <v>465</v>
      </c>
      <c r="F104" s="1">
        <v>2571.35</v>
      </c>
      <c r="G104" s="1">
        <f>D104*Table1[[#This Row],[Quantity]]</f>
        <v>61417.200000000004</v>
      </c>
      <c r="H104" s="1">
        <f>Table1[[#This Row],[Current_Price]]*Table1[[#This Row],[Quantity]]</f>
        <v>1195677.75</v>
      </c>
      <c r="I104" s="1">
        <f>Table1[[#This Row],[Current_Value]]-Table1[[#This Row],[Investment_Value]]</f>
        <v>1134260.55</v>
      </c>
      <c r="J104" s="11">
        <f t="shared" si="3"/>
        <v>18.468125378558447</v>
      </c>
      <c r="K104" s="1" t="s">
        <v>35</v>
      </c>
      <c r="L104" s="1" t="s">
        <v>18</v>
      </c>
    </row>
    <row r="105" spans="1:12" x14ac:dyDescent="0.3">
      <c r="A105" s="4" t="s">
        <v>84</v>
      </c>
      <c r="B105" s="1" t="s">
        <v>73</v>
      </c>
      <c r="C105" s="1" t="s">
        <v>10</v>
      </c>
      <c r="D105" s="1">
        <v>377.56</v>
      </c>
      <c r="E105" s="1">
        <v>148</v>
      </c>
      <c r="F105" s="1">
        <v>505.79</v>
      </c>
      <c r="G105" s="1">
        <f>D105*Table1[[#This Row],[Quantity]]</f>
        <v>55878.879999999997</v>
      </c>
      <c r="H105" s="1">
        <f>Table1[[#This Row],[Current_Price]]*Table1[[#This Row],[Quantity]]</f>
        <v>74856.92</v>
      </c>
      <c r="I105" s="1">
        <f>Table1[[#This Row],[Current_Value]]-Table1[[#This Row],[Investment_Value]]</f>
        <v>18978.04</v>
      </c>
      <c r="J105" s="11">
        <f t="shared" si="3"/>
        <v>0.33962813857400154</v>
      </c>
      <c r="K105" s="1" t="s">
        <v>11</v>
      </c>
      <c r="L105" s="1" t="s">
        <v>18</v>
      </c>
    </row>
    <row r="106" spans="1:12" x14ac:dyDescent="0.3">
      <c r="A106" s="4" t="s">
        <v>115</v>
      </c>
      <c r="B106" s="1" t="s">
        <v>63</v>
      </c>
      <c r="C106" s="1" t="s">
        <v>64</v>
      </c>
      <c r="D106" s="1">
        <v>2189</v>
      </c>
      <c r="E106" s="1">
        <v>24</v>
      </c>
      <c r="F106" s="1">
        <v>1836.17</v>
      </c>
      <c r="G106" s="1">
        <f>D106*Table1[[#This Row],[Quantity]]</f>
        <v>52536</v>
      </c>
      <c r="H106" s="1">
        <f>Table1[[#This Row],[Current_Price]]*Table1[[#This Row],[Quantity]]</f>
        <v>44068.08</v>
      </c>
      <c r="I106" s="1">
        <f>Table1[[#This Row],[Current_Value]]-Table1[[#This Row],[Investment_Value]]</f>
        <v>-8467.9199999999983</v>
      </c>
      <c r="J106" s="11">
        <f t="shared" si="3"/>
        <v>-0.16118318867062581</v>
      </c>
      <c r="K106" s="1" t="s">
        <v>35</v>
      </c>
      <c r="L106" s="1" t="s">
        <v>18</v>
      </c>
    </row>
    <row r="107" spans="1:12" x14ac:dyDescent="0.3">
      <c r="A107" s="4" t="s">
        <v>82</v>
      </c>
      <c r="B107" s="1" t="s">
        <v>88</v>
      </c>
      <c r="C107" s="1" t="s">
        <v>43</v>
      </c>
      <c r="D107" s="1">
        <v>1223.8599999999999</v>
      </c>
      <c r="E107" s="1">
        <v>40</v>
      </c>
      <c r="F107" s="1">
        <v>1615.72</v>
      </c>
      <c r="G107" s="1">
        <f>D107*Table1[[#This Row],[Quantity]]</f>
        <v>48954.399999999994</v>
      </c>
      <c r="H107" s="1">
        <f>Table1[[#This Row],[Current_Price]]*Table1[[#This Row],[Quantity]]</f>
        <v>64628.800000000003</v>
      </c>
      <c r="I107" s="1">
        <f>Table1[[#This Row],[Current_Value]]-Table1[[#This Row],[Investment_Value]]</f>
        <v>15674.400000000009</v>
      </c>
      <c r="J107" s="11">
        <f t="shared" si="3"/>
        <v>0.3201836811399999</v>
      </c>
      <c r="K107" s="1" t="s">
        <v>30</v>
      </c>
      <c r="L107" s="1" t="s">
        <v>12</v>
      </c>
    </row>
    <row r="108" spans="1:12" x14ac:dyDescent="0.3">
      <c r="A108" s="4" t="s">
        <v>99</v>
      </c>
      <c r="B108" s="1" t="s">
        <v>76</v>
      </c>
      <c r="C108" s="1" t="s">
        <v>34</v>
      </c>
      <c r="D108" s="1">
        <v>419.68</v>
      </c>
      <c r="E108" s="1">
        <v>115</v>
      </c>
      <c r="F108" s="1">
        <v>494.45</v>
      </c>
      <c r="G108" s="1">
        <f>D108*Table1[[#This Row],[Quantity]]</f>
        <v>48263.200000000004</v>
      </c>
      <c r="H108" s="1">
        <f>Table1[[#This Row],[Current_Price]]*Table1[[#This Row],[Quantity]]</f>
        <v>56861.75</v>
      </c>
      <c r="I108" s="1">
        <f>Table1[[#This Row],[Current_Value]]-Table1[[#This Row],[Investment_Value]]</f>
        <v>8598.5499999999956</v>
      </c>
      <c r="J108" s="11">
        <f t="shared" si="3"/>
        <v>0.1781595501334349</v>
      </c>
      <c r="K108" s="1" t="s">
        <v>30</v>
      </c>
      <c r="L108" s="1" t="s">
        <v>12</v>
      </c>
    </row>
    <row r="109" spans="1:12" x14ac:dyDescent="0.3">
      <c r="A109" s="4" t="s">
        <v>110</v>
      </c>
      <c r="B109" s="1" t="s">
        <v>20</v>
      </c>
      <c r="C109" s="1" t="s">
        <v>21</v>
      </c>
      <c r="D109" s="1">
        <v>416.83</v>
      </c>
      <c r="E109" s="1">
        <v>113</v>
      </c>
      <c r="F109" s="1">
        <v>851.11</v>
      </c>
      <c r="G109" s="1">
        <f>D109*Table1[[#This Row],[Quantity]]</f>
        <v>47101.79</v>
      </c>
      <c r="H109" s="1">
        <f>Table1[[#This Row],[Current_Price]]*Table1[[#This Row],[Quantity]]</f>
        <v>96175.430000000008</v>
      </c>
      <c r="I109" s="1">
        <f>Table1[[#This Row],[Current_Value]]-Table1[[#This Row],[Investment_Value]]</f>
        <v>49073.640000000007</v>
      </c>
      <c r="J109" s="11">
        <f t="shared" si="3"/>
        <v>1.0418635894729267</v>
      </c>
      <c r="K109" s="1" t="s">
        <v>22</v>
      </c>
      <c r="L109" s="1" t="s">
        <v>12</v>
      </c>
    </row>
    <row r="110" spans="1:12" x14ac:dyDescent="0.3">
      <c r="A110" s="4" t="s">
        <v>128</v>
      </c>
      <c r="B110" s="1" t="s">
        <v>47</v>
      </c>
      <c r="C110" s="1" t="s">
        <v>48</v>
      </c>
      <c r="D110" s="1">
        <v>3283.93</v>
      </c>
      <c r="E110" s="1">
        <v>12</v>
      </c>
      <c r="F110" s="1">
        <v>3569.4</v>
      </c>
      <c r="G110" s="1">
        <f>D110*Table1[[#This Row],[Quantity]]</f>
        <v>39407.159999999996</v>
      </c>
      <c r="H110" s="1">
        <f>Table1[[#This Row],[Current_Price]]*Table1[[#This Row],[Quantity]]</f>
        <v>42832.800000000003</v>
      </c>
      <c r="I110" s="1">
        <f>Table1[[#This Row],[Current_Value]]-Table1[[#This Row],[Investment_Value]]</f>
        <v>3425.6400000000067</v>
      </c>
      <c r="J110" s="11">
        <f t="shared" si="3"/>
        <v>8.6929380346109864E-2</v>
      </c>
      <c r="K110" s="1" t="s">
        <v>11</v>
      </c>
      <c r="L110" s="1" t="s">
        <v>16</v>
      </c>
    </row>
    <row r="111" spans="1:12" x14ac:dyDescent="0.3">
      <c r="A111" s="4" t="s">
        <v>51</v>
      </c>
      <c r="B111" s="1" t="s">
        <v>52</v>
      </c>
      <c r="C111" s="1" t="s">
        <v>53</v>
      </c>
      <c r="D111" s="1">
        <v>1100.74</v>
      </c>
      <c r="E111" s="1">
        <v>35</v>
      </c>
      <c r="F111" s="1">
        <v>1118.04</v>
      </c>
      <c r="G111" s="1">
        <f>D111*Table1[[#This Row],[Quantity]]</f>
        <v>38525.9</v>
      </c>
      <c r="H111" s="1">
        <f>Table1[[#This Row],[Current_Price]]*Table1[[#This Row],[Quantity]]</f>
        <v>39131.4</v>
      </c>
      <c r="I111" s="1">
        <f>Table1[[#This Row],[Current_Value]]-Table1[[#This Row],[Investment_Value]]</f>
        <v>605.5</v>
      </c>
      <c r="J111" s="11">
        <f t="shared" si="3"/>
        <v>1.5716699674764249E-2</v>
      </c>
      <c r="K111" s="1" t="s">
        <v>35</v>
      </c>
      <c r="L111" s="1" t="s">
        <v>16</v>
      </c>
    </row>
    <row r="112" spans="1:12" x14ac:dyDescent="0.3">
      <c r="A112" s="4" t="s">
        <v>119</v>
      </c>
      <c r="B112" s="1" t="s">
        <v>70</v>
      </c>
      <c r="C112" s="1" t="s">
        <v>71</v>
      </c>
      <c r="D112" s="1">
        <v>456.79</v>
      </c>
      <c r="E112" s="1">
        <v>63</v>
      </c>
      <c r="F112" s="1">
        <v>560.19000000000005</v>
      </c>
      <c r="G112" s="1">
        <f>D112*Table1[[#This Row],[Quantity]]</f>
        <v>28777.77</v>
      </c>
      <c r="H112" s="1">
        <f>Table1[[#This Row],[Current_Price]]*Table1[[#This Row],[Quantity]]</f>
        <v>35291.97</v>
      </c>
      <c r="I112" s="1">
        <f>Table1[[#This Row],[Current_Value]]-Table1[[#This Row],[Investment_Value]]</f>
        <v>6514.2000000000007</v>
      </c>
      <c r="J112" s="11">
        <f t="shared" si="3"/>
        <v>0.22636222334114148</v>
      </c>
      <c r="K112" s="1" t="s">
        <v>35</v>
      </c>
      <c r="L112" s="1" t="s">
        <v>18</v>
      </c>
    </row>
    <row r="113" spans="1:12" x14ac:dyDescent="0.3">
      <c r="A113" s="4" t="s">
        <v>85</v>
      </c>
      <c r="B113" s="1" t="s">
        <v>105</v>
      </c>
      <c r="C113" s="1" t="s">
        <v>10</v>
      </c>
      <c r="D113" s="1">
        <v>3584.88</v>
      </c>
      <c r="E113" s="1">
        <v>6</v>
      </c>
      <c r="F113" s="1">
        <v>4831.21</v>
      </c>
      <c r="G113" s="1">
        <f>D113*Table1[[#This Row],[Quantity]]</f>
        <v>21509.279999999999</v>
      </c>
      <c r="H113" s="1">
        <f>Table1[[#This Row],[Current_Price]]*Table1[[#This Row],[Quantity]]</f>
        <v>28987.260000000002</v>
      </c>
      <c r="I113" s="1">
        <f>Table1[[#This Row],[Current_Value]]-Table1[[#This Row],[Investment_Value]]</f>
        <v>7477.9800000000032</v>
      </c>
      <c r="J113" s="11">
        <f t="shared" si="3"/>
        <v>0.34766296221909815</v>
      </c>
      <c r="K113" s="1" t="s">
        <v>22</v>
      </c>
      <c r="L113" s="1" t="s">
        <v>18</v>
      </c>
    </row>
    <row r="114" spans="1:12" x14ac:dyDescent="0.3">
      <c r="A114" s="4" t="s">
        <v>98</v>
      </c>
      <c r="B114" s="1" t="s">
        <v>69</v>
      </c>
      <c r="C114" s="1" t="s">
        <v>15</v>
      </c>
      <c r="D114" s="1">
        <v>1241.8900000000001</v>
      </c>
      <c r="E114" s="1">
        <v>5</v>
      </c>
      <c r="F114" s="1">
        <v>978.52</v>
      </c>
      <c r="G114" s="1">
        <f>D114*Table1[[#This Row],[Quantity]]</f>
        <v>6209.4500000000007</v>
      </c>
      <c r="H114" s="1">
        <f>Table1[[#This Row],[Current_Price]]*Table1[[#This Row],[Quantity]]</f>
        <v>4892.6000000000004</v>
      </c>
      <c r="I114" s="1">
        <f>Table1[[#This Row],[Current_Value]]-Table1[[#This Row],[Investment_Value]]</f>
        <v>-1316.8500000000004</v>
      </c>
      <c r="J114" s="11">
        <f t="shared" si="3"/>
        <v>-0.21207192263404975</v>
      </c>
      <c r="K114" s="1" t="s">
        <v>35</v>
      </c>
      <c r="L114" s="1" t="s">
        <v>12</v>
      </c>
    </row>
    <row r="115" spans="1:12" x14ac:dyDescent="0.3">
      <c r="A115" s="4" t="s">
        <v>67</v>
      </c>
      <c r="B115" s="1" t="s">
        <v>29</v>
      </c>
      <c r="C115" s="1" t="s">
        <v>15</v>
      </c>
      <c r="D115" s="1">
        <v>160.03</v>
      </c>
      <c r="E115" s="1">
        <v>35</v>
      </c>
      <c r="F115" s="1">
        <v>158.57</v>
      </c>
      <c r="G115" s="1">
        <f>D115*Table1[[#This Row],[Quantity]]</f>
        <v>5601.05</v>
      </c>
      <c r="H115" s="1">
        <f>Table1[[#This Row],[Current_Price]]*Table1[[#This Row],[Quantity]]</f>
        <v>5549.95</v>
      </c>
      <c r="I115" s="1">
        <f>Table1[[#This Row],[Current_Value]]-Table1[[#This Row],[Investment_Value]]</f>
        <v>-51.100000000000364</v>
      </c>
      <c r="J115" s="11">
        <f t="shared" si="3"/>
        <v>-9.1232893832407062E-3</v>
      </c>
      <c r="K115" s="1" t="s">
        <v>35</v>
      </c>
      <c r="L115" s="1" t="s">
        <v>18</v>
      </c>
    </row>
    <row r="116" spans="1:12" x14ac:dyDescent="0.3">
      <c r="A116" s="4" t="s">
        <v>81</v>
      </c>
      <c r="B116" s="1" t="s">
        <v>69</v>
      </c>
      <c r="C116" s="1" t="s">
        <v>15</v>
      </c>
      <c r="D116" s="1">
        <v>239.01</v>
      </c>
      <c r="E116" s="1">
        <v>22</v>
      </c>
      <c r="F116" s="1">
        <v>304.08999999999997</v>
      </c>
      <c r="G116" s="1">
        <f>D116*Table1[[#This Row],[Quantity]]</f>
        <v>5258.2199999999993</v>
      </c>
      <c r="H116" s="1">
        <f>Table1[[#This Row],[Current_Price]]*Table1[[#This Row],[Quantity]]</f>
        <v>6689.98</v>
      </c>
      <c r="I116" s="1">
        <f>Table1[[#This Row],[Current_Value]]-Table1[[#This Row],[Investment_Value]]</f>
        <v>1431.7600000000002</v>
      </c>
      <c r="J116" s="11">
        <f t="shared" si="3"/>
        <v>0.27228986234885577</v>
      </c>
      <c r="K116" s="1" t="s">
        <v>35</v>
      </c>
      <c r="L116" s="1" t="s">
        <v>18</v>
      </c>
    </row>
    <row r="117" spans="1:12" x14ac:dyDescent="0.3">
      <c r="A117" s="4" t="s">
        <v>127</v>
      </c>
      <c r="B117" s="1" t="s">
        <v>105</v>
      </c>
      <c r="C117" s="1" t="s">
        <v>10</v>
      </c>
      <c r="D117" s="1">
        <v>381.29</v>
      </c>
      <c r="E117" s="1">
        <v>12</v>
      </c>
      <c r="F117" s="1">
        <v>395.61</v>
      </c>
      <c r="G117" s="1">
        <f>D117*Table1[[#This Row],[Quantity]]</f>
        <v>4575.4800000000005</v>
      </c>
      <c r="H117" s="1">
        <f>Table1[[#This Row],[Current_Price]]*Table1[[#This Row],[Quantity]]</f>
        <v>4747.32</v>
      </c>
      <c r="I117" s="1">
        <f>Table1[[#This Row],[Current_Value]]-Table1[[#This Row],[Investment_Value]]</f>
        <v>171.83999999999924</v>
      </c>
      <c r="J117" s="11">
        <f t="shared" si="3"/>
        <v>3.7556715361011135E-2</v>
      </c>
      <c r="K117" s="1" t="s">
        <v>30</v>
      </c>
      <c r="L117" s="1" t="s">
        <v>16</v>
      </c>
    </row>
    <row r="118" spans="1:12" x14ac:dyDescent="0.3">
      <c r="A118" s="4" t="s">
        <v>113</v>
      </c>
      <c r="B118" s="1" t="s">
        <v>79</v>
      </c>
      <c r="C118" s="1" t="s">
        <v>61</v>
      </c>
      <c r="D118" s="1">
        <v>4042.9</v>
      </c>
      <c r="E118" s="1">
        <v>1</v>
      </c>
      <c r="F118" s="1">
        <v>3877.85</v>
      </c>
      <c r="G118" s="1">
        <f>D118*Table1[[#This Row],[Quantity]]</f>
        <v>4042.9</v>
      </c>
      <c r="H118" s="1">
        <f>Table1[[#This Row],[Current_Price]]*Table1[[#This Row],[Quantity]]</f>
        <v>3877.85</v>
      </c>
      <c r="I118" s="1">
        <f>Table1[[#This Row],[Current_Value]]-Table1[[#This Row],[Investment_Value]]</f>
        <v>-165.05000000000018</v>
      </c>
      <c r="J118" s="11">
        <f t="shared" si="3"/>
        <v>-4.0824655569022282E-2</v>
      </c>
      <c r="K118" s="1" t="s">
        <v>37</v>
      </c>
      <c r="L118" s="1" t="s">
        <v>18</v>
      </c>
    </row>
    <row r="119" spans="1:12" x14ac:dyDescent="0.3">
      <c r="A119" s="4" t="s">
        <v>67</v>
      </c>
      <c r="B119" s="1" t="s">
        <v>79</v>
      </c>
      <c r="C119" s="1" t="s">
        <v>61</v>
      </c>
      <c r="D119" s="1">
        <v>1195.77</v>
      </c>
      <c r="E119" s="1">
        <v>2</v>
      </c>
      <c r="F119" s="1">
        <v>1537.58</v>
      </c>
      <c r="G119" s="1">
        <f>D119*Table1[[#This Row],[Quantity]]</f>
        <v>2391.54</v>
      </c>
      <c r="H119" s="1">
        <f>Table1[[#This Row],[Current_Price]]*Table1[[#This Row],[Quantity]]</f>
        <v>3075.16</v>
      </c>
      <c r="I119" s="1">
        <f>Table1[[#This Row],[Current_Value]]-Table1[[#This Row],[Investment_Value]]</f>
        <v>683.61999999999989</v>
      </c>
      <c r="J119" s="11">
        <f t="shared" si="3"/>
        <v>0.2858492853976935</v>
      </c>
      <c r="K119" s="1" t="s">
        <v>11</v>
      </c>
      <c r="L119" s="1" t="s">
        <v>12</v>
      </c>
    </row>
  </sheetData>
  <mergeCells count="1">
    <mergeCell ref="A1:L3"/>
  </mergeCells>
  <phoneticPr fontId="1" type="noConversion"/>
  <conditionalFormatting sqref="I5:I119">
    <cfRule type="cellIs" dxfId="2" priority="2" operator="equal">
      <formula>0</formula>
    </cfRule>
    <cfRule type="cellIs" dxfId="1" priority="3" operator="lessThan">
      <formula>0</formula>
    </cfRule>
    <cfRule type="cellIs" dxfId="0" priority="4" operator="greaterThan">
      <formula>0</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17" id="{223635FE-A526-4BFE-B175-1A430154EEB1}">
            <x14:iconSet iconSet="3Triangles">
              <x14:cfvo type="percent">
                <xm:f>0</xm:f>
              </x14:cfvo>
              <x14:cfvo type="num">
                <xm:f>0</xm:f>
              </x14:cfvo>
              <x14:cfvo type="num">
                <xm:f>0</xm:f>
              </x14:cfvo>
            </x14:iconSet>
          </x14:cfRule>
          <xm:sqref>J5:J119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25BA6-3330-46A2-BC62-EB58C739ADEC}">
  <dimension ref="A1:D18"/>
  <sheetViews>
    <sheetView workbookViewId="0">
      <selection activeCell="F11" sqref="F11"/>
    </sheetView>
  </sheetViews>
  <sheetFormatPr defaultRowHeight="14.4" x14ac:dyDescent="0.3"/>
  <cols>
    <col min="1" max="1" width="7.6640625" style="122" bestFit="1" customWidth="1"/>
    <col min="2" max="2" width="29.88671875" style="122" customWidth="1"/>
    <col min="3" max="3" width="18.33203125" style="122" customWidth="1"/>
    <col min="4" max="4" width="37.109375" style="122" customWidth="1"/>
  </cols>
  <sheetData>
    <row r="1" spans="1:4" x14ac:dyDescent="0.3">
      <c r="A1" s="123" t="s">
        <v>175</v>
      </c>
      <c r="B1" s="123" t="s">
        <v>176</v>
      </c>
      <c r="C1" s="123" t="s">
        <v>177</v>
      </c>
      <c r="D1" s="123" t="s">
        <v>178</v>
      </c>
    </row>
    <row r="2" spans="1:4" ht="28.8" x14ac:dyDescent="0.3">
      <c r="A2" s="124">
        <v>1</v>
      </c>
      <c r="B2" s="124" t="s">
        <v>179</v>
      </c>
      <c r="C2" s="125" t="s">
        <v>180</v>
      </c>
      <c r="D2" s="126" t="s">
        <v>181</v>
      </c>
    </row>
    <row r="3" spans="1:4" ht="28.8" x14ac:dyDescent="0.3">
      <c r="A3" s="124">
        <v>2</v>
      </c>
      <c r="B3" s="124" t="s">
        <v>182</v>
      </c>
      <c r="C3" s="125" t="s">
        <v>183</v>
      </c>
      <c r="D3" s="126" t="s">
        <v>184</v>
      </c>
    </row>
    <row r="4" spans="1:4" ht="28.8" x14ac:dyDescent="0.3">
      <c r="A4" s="124">
        <v>3</v>
      </c>
      <c r="B4" s="124" t="s">
        <v>185</v>
      </c>
      <c r="C4" s="125" t="s">
        <v>186</v>
      </c>
      <c r="D4" s="126" t="s">
        <v>187</v>
      </c>
    </row>
    <row r="5" spans="1:4" ht="28.8" x14ac:dyDescent="0.3">
      <c r="A5" s="124">
        <v>4</v>
      </c>
      <c r="B5" s="124" t="s">
        <v>188</v>
      </c>
      <c r="C5" s="125" t="s">
        <v>189</v>
      </c>
      <c r="D5" s="126" t="s">
        <v>190</v>
      </c>
    </row>
    <row r="6" spans="1:4" ht="28.8" x14ac:dyDescent="0.3">
      <c r="A6" s="124">
        <v>5</v>
      </c>
      <c r="B6" s="124" t="s">
        <v>191</v>
      </c>
      <c r="C6" s="125" t="s">
        <v>192</v>
      </c>
      <c r="D6" s="126" t="s">
        <v>193</v>
      </c>
    </row>
    <row r="7" spans="1:4" ht="28.8" x14ac:dyDescent="0.3">
      <c r="A7" s="124">
        <v>6</v>
      </c>
      <c r="B7" s="124" t="s">
        <v>194</v>
      </c>
      <c r="C7" s="125" t="s">
        <v>195</v>
      </c>
      <c r="D7" s="126" t="s">
        <v>196</v>
      </c>
    </row>
    <row r="8" spans="1:4" ht="28.8" x14ac:dyDescent="0.3">
      <c r="A8" s="124">
        <v>7</v>
      </c>
      <c r="B8" s="124" t="s">
        <v>197</v>
      </c>
      <c r="C8" s="125" t="s">
        <v>198</v>
      </c>
      <c r="D8" s="126" t="s">
        <v>199</v>
      </c>
    </row>
    <row r="9" spans="1:4" ht="28.8" x14ac:dyDescent="0.3">
      <c r="A9" s="124">
        <v>8</v>
      </c>
      <c r="B9" s="124" t="s">
        <v>200</v>
      </c>
      <c r="C9" s="125" t="s">
        <v>201</v>
      </c>
      <c r="D9" s="126" t="s">
        <v>202</v>
      </c>
    </row>
    <row r="10" spans="1:4" ht="28.8" x14ac:dyDescent="0.3">
      <c r="A10" s="124">
        <v>9</v>
      </c>
      <c r="B10" s="124" t="s">
        <v>203</v>
      </c>
      <c r="C10" s="125" t="s">
        <v>204</v>
      </c>
      <c r="D10" s="126" t="s">
        <v>205</v>
      </c>
    </row>
    <row r="11" spans="1:4" ht="28.8" x14ac:dyDescent="0.3">
      <c r="A11" s="124">
        <v>10</v>
      </c>
      <c r="B11" s="124" t="s">
        <v>206</v>
      </c>
      <c r="C11" s="125" t="s">
        <v>207</v>
      </c>
      <c r="D11" s="126" t="s">
        <v>208</v>
      </c>
    </row>
    <row r="12" spans="1:4" ht="28.8" x14ac:dyDescent="0.3">
      <c r="A12" s="124">
        <v>11</v>
      </c>
      <c r="B12" s="124" t="s">
        <v>209</v>
      </c>
      <c r="C12" s="125" t="s">
        <v>210</v>
      </c>
      <c r="D12" s="126" t="s">
        <v>211</v>
      </c>
    </row>
    <row r="13" spans="1:4" ht="28.8" x14ac:dyDescent="0.3">
      <c r="A13" s="124">
        <v>12</v>
      </c>
      <c r="B13" s="124" t="s">
        <v>212</v>
      </c>
      <c r="C13" s="125" t="s">
        <v>213</v>
      </c>
      <c r="D13" s="126" t="s">
        <v>214</v>
      </c>
    </row>
    <row r="14" spans="1:4" ht="28.8" x14ac:dyDescent="0.3">
      <c r="A14" s="124">
        <v>13</v>
      </c>
      <c r="B14" s="124" t="s">
        <v>215</v>
      </c>
      <c r="C14" s="125" t="s">
        <v>216</v>
      </c>
      <c r="D14" s="126" t="s">
        <v>217</v>
      </c>
    </row>
    <row r="15" spans="1:4" ht="28.8" x14ac:dyDescent="0.3">
      <c r="A15" s="124">
        <v>14</v>
      </c>
      <c r="B15" s="124" t="s">
        <v>218</v>
      </c>
      <c r="C15" s="125" t="s">
        <v>219</v>
      </c>
      <c r="D15" s="126" t="s">
        <v>220</v>
      </c>
    </row>
    <row r="16" spans="1:4" ht="28.8" x14ac:dyDescent="0.3">
      <c r="A16" s="124">
        <v>15</v>
      </c>
      <c r="B16" s="124" t="s">
        <v>221</v>
      </c>
      <c r="C16" s="125" t="s">
        <v>222</v>
      </c>
      <c r="D16" s="126" t="s">
        <v>223</v>
      </c>
    </row>
    <row r="17" spans="1:4" ht="28.8" x14ac:dyDescent="0.3">
      <c r="A17" s="124">
        <v>16</v>
      </c>
      <c r="B17" s="124" t="s">
        <v>224</v>
      </c>
      <c r="C17" s="125" t="s">
        <v>225</v>
      </c>
      <c r="D17" s="126" t="s">
        <v>226</v>
      </c>
    </row>
    <row r="18" spans="1:4" x14ac:dyDescent="0.3">
      <c r="A18" s="124">
        <v>17</v>
      </c>
      <c r="B18" s="124" t="s">
        <v>227</v>
      </c>
      <c r="C18" s="125" t="s">
        <v>228</v>
      </c>
      <c r="D18" s="126" t="s">
        <v>229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64EC-CE24-469C-8A5B-60ED8ADCD6E2}">
  <dimension ref="D2:K20"/>
  <sheetViews>
    <sheetView workbookViewId="0">
      <selection activeCell="F7" sqref="F7"/>
    </sheetView>
  </sheetViews>
  <sheetFormatPr defaultRowHeight="14.4" x14ac:dyDescent="0.3"/>
  <cols>
    <col min="4" max="4" width="19.33203125" bestFit="1" customWidth="1"/>
    <col min="5" max="5" width="22" customWidth="1"/>
    <col min="9" max="9" width="10.21875" bestFit="1" customWidth="1"/>
    <col min="11" max="11" width="14.5546875" bestFit="1" customWidth="1"/>
  </cols>
  <sheetData>
    <row r="2" spans="4:11" ht="21" x14ac:dyDescent="0.3">
      <c r="D2" s="113" t="s">
        <v>165</v>
      </c>
      <c r="E2" s="114"/>
    </row>
    <row r="3" spans="4:11" ht="18" x14ac:dyDescent="0.3">
      <c r="D3" s="115" t="s">
        <v>0</v>
      </c>
      <c r="E3" s="79">
        <f ca="1">TODAY()</f>
        <v>46162</v>
      </c>
    </row>
    <row r="4" spans="4:11" ht="18" x14ac:dyDescent="0.3">
      <c r="D4" s="115" t="s">
        <v>138</v>
      </c>
      <c r="E4" s="80" t="s">
        <v>55</v>
      </c>
    </row>
    <row r="5" spans="4:11" ht="18" x14ac:dyDescent="0.3">
      <c r="D5" s="115" t="s">
        <v>2</v>
      </c>
      <c r="E5" s="80" t="str" cm="1">
        <f t="array" ref="E5">_xlfn.XLOOKUP(E4,_xlfn.ANCHORARRAY(Holdings!G6),Holdings!H6:H30,"Unspecified",0,1)</f>
        <v>Auto</v>
      </c>
      <c r="I5" s="78" t="s">
        <v>6</v>
      </c>
      <c r="K5" s="78" t="s">
        <v>153</v>
      </c>
    </row>
    <row r="6" spans="4:11" ht="18" x14ac:dyDescent="0.3">
      <c r="D6" s="115" t="s">
        <v>154</v>
      </c>
      <c r="E6" s="81">
        <v>1333.2</v>
      </c>
      <c r="I6" s="85" t="str" cm="1">
        <f t="array" ref="I6:I10">_xlfn.UNIQUE('Cleaned Data'!K5:K119,FALSE,FALSE)</f>
        <v>ICICI Direct</v>
      </c>
      <c r="K6" s="85" t="str" cm="1">
        <f t="array" ref="K6:K8">_xlfn.UNIQUE('Cleaned Data'!L5:L119,FALSE,FALSE)</f>
        <v>Swing</v>
      </c>
    </row>
    <row r="7" spans="4:11" ht="18" x14ac:dyDescent="0.3">
      <c r="D7" s="115" t="s">
        <v>140</v>
      </c>
      <c r="E7" s="82">
        <v>10</v>
      </c>
      <c r="I7" s="85" t="str">
        <v>Groww</v>
      </c>
      <c r="K7" s="85" t="str">
        <v>Long Term</v>
      </c>
    </row>
    <row r="8" spans="4:11" ht="18" x14ac:dyDescent="0.3">
      <c r="D8" s="115" t="s">
        <v>141</v>
      </c>
      <c r="E8" s="81">
        <v>2000</v>
      </c>
      <c r="I8" s="85" t="str">
        <v>Upstox</v>
      </c>
      <c r="K8" s="85" t="str">
        <v>Intraday</v>
      </c>
    </row>
    <row r="9" spans="4:11" ht="18" x14ac:dyDescent="0.3">
      <c r="D9" s="115" t="s">
        <v>156</v>
      </c>
      <c r="E9" s="81">
        <f>E6*E7</f>
        <v>13332</v>
      </c>
      <c r="I9" s="85" t="str">
        <v>Zerodha</v>
      </c>
    </row>
    <row r="10" spans="4:11" ht="18" x14ac:dyDescent="0.3">
      <c r="D10" s="115" t="s">
        <v>142</v>
      </c>
      <c r="E10" s="81">
        <f>E8*E7</f>
        <v>20000</v>
      </c>
      <c r="I10" s="85" t="str">
        <v>Angel One</v>
      </c>
    </row>
    <row r="11" spans="4:11" ht="18" x14ac:dyDescent="0.3">
      <c r="D11" s="115" t="s">
        <v>143</v>
      </c>
      <c r="E11" s="81">
        <f>E10-E9</f>
        <v>6668</v>
      </c>
    </row>
    <row r="12" spans="4:11" ht="18" x14ac:dyDescent="0.3">
      <c r="D12" s="115" t="s">
        <v>157</v>
      </c>
      <c r="E12" s="83">
        <f>E11/E9</f>
        <v>0.50015001500150014</v>
      </c>
    </row>
    <row r="13" spans="4:11" ht="18" x14ac:dyDescent="0.3">
      <c r="D13" s="115" t="s">
        <v>6</v>
      </c>
      <c r="E13" s="84" t="s">
        <v>35</v>
      </c>
    </row>
    <row r="14" spans="4:11" ht="18" x14ac:dyDescent="0.3">
      <c r="D14" s="115" t="s">
        <v>155</v>
      </c>
      <c r="E14" s="84" t="s">
        <v>12</v>
      </c>
    </row>
    <row r="16" spans="4:11" x14ac:dyDescent="0.3">
      <c r="D16" s="7"/>
      <c r="E16" s="7"/>
    </row>
    <row r="17" spans="4:10" x14ac:dyDescent="0.3">
      <c r="D17" s="7"/>
      <c r="E17" s="7"/>
    </row>
    <row r="18" spans="4:10" x14ac:dyDescent="0.3">
      <c r="D18" s="7"/>
      <c r="E18" s="7"/>
    </row>
    <row r="20" spans="4:10" x14ac:dyDescent="0.3">
      <c r="J20" s="14"/>
    </row>
  </sheetData>
  <mergeCells count="1">
    <mergeCell ref="D2:E2"/>
  </mergeCells>
  <dataValidations count="2">
    <dataValidation type="list" allowBlank="1" showInputMessage="1" showErrorMessage="1" sqref="E13" xr:uid="{F7B6661E-B703-4A34-BAB8-8CB70FC91AB3}">
      <formula1>"ICICI Direct, Groww, Upstox, Zerodha, Angel One"</formula1>
    </dataValidation>
    <dataValidation type="list" allowBlank="1" showInputMessage="1" showErrorMessage="1" sqref="E14" xr:uid="{9F975378-BDCA-4E2B-A953-002250E49369}">
      <formula1>"Swing, Long Term, Intraday"</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73E8F6F-7574-4AF6-A974-E74EF60EE564}">
          <x14:formula1>
            <xm:f>Holdings!$G$6:$G$30</xm:f>
          </x14:formula1>
          <xm:sqref>E4</xm:sqref>
        </x14:dataValidation>
        <x14:dataValidation type="decimal" showInputMessage="1" showErrorMessage="1" xr:uid="{DCD79DBB-864E-4236-BB5C-FDD096398F28}">
          <x14:formula1>
            <xm:f>0</xm:f>
          </x14:formula1>
          <x14:formula2>
            <xm:f>MAX(_xlfn.XLOOKUP(E4,'Cleaned Data'!B5:B119,'Cleaned Data'!D5:D119,0,0,1))</xm:f>
          </x14:formula2>
          <xm:sqref>E6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C1F01-5214-409A-AB84-174F0B2C35BD}">
  <sheetPr codeName="Sheet1"/>
  <dimension ref="D3:N31"/>
  <sheetViews>
    <sheetView showGridLines="0" topLeftCell="D1" zoomScaleNormal="100" workbookViewId="0">
      <selection activeCell="N10" sqref="N10"/>
    </sheetView>
  </sheetViews>
  <sheetFormatPr defaultRowHeight="14.4" x14ac:dyDescent="0.3"/>
  <cols>
    <col min="6" max="6" width="9" bestFit="1" customWidth="1"/>
    <col min="7" max="7" width="12.6640625" bestFit="1" customWidth="1"/>
    <col min="8" max="8" width="16.88671875" bestFit="1" customWidth="1"/>
    <col min="9" max="9" width="9.109375" bestFit="1" customWidth="1"/>
    <col min="10" max="10" width="16.33203125" customWidth="1"/>
    <col min="11" max="11" width="15.21875" bestFit="1" customWidth="1"/>
    <col min="12" max="12" width="14.21875" bestFit="1" customWidth="1"/>
    <col min="13" max="13" width="9.109375" bestFit="1" customWidth="1"/>
    <col min="14" max="14" width="11.5546875" customWidth="1"/>
  </cols>
  <sheetData>
    <row r="3" spans="4:14" x14ac:dyDescent="0.3">
      <c r="F3" s="104" t="s">
        <v>160</v>
      </c>
      <c r="G3" s="104"/>
      <c r="H3" s="104"/>
      <c r="I3" s="104"/>
      <c r="J3" s="104"/>
      <c r="K3" s="104"/>
      <c r="L3" s="104"/>
      <c r="M3" s="104"/>
      <c r="N3" s="104"/>
    </row>
    <row r="4" spans="4:14" x14ac:dyDescent="0.3">
      <c r="F4" s="104"/>
      <c r="G4" s="104"/>
      <c r="H4" s="104"/>
      <c r="I4" s="104"/>
      <c r="J4" s="104"/>
      <c r="K4" s="104"/>
      <c r="L4" s="104"/>
      <c r="M4" s="104"/>
      <c r="N4" s="104"/>
    </row>
    <row r="5" spans="4:14" x14ac:dyDescent="0.3">
      <c r="F5" s="105" t="s">
        <v>150</v>
      </c>
      <c r="G5" s="105" t="s">
        <v>138</v>
      </c>
      <c r="H5" s="105" t="s">
        <v>2</v>
      </c>
      <c r="I5" s="105" t="s">
        <v>140</v>
      </c>
      <c r="J5" s="105" t="s">
        <v>142</v>
      </c>
      <c r="K5" s="105" t="s">
        <v>145</v>
      </c>
      <c r="L5" s="105" t="s">
        <v>143</v>
      </c>
      <c r="M5" s="105" t="s">
        <v>144</v>
      </c>
      <c r="N5" s="105" t="s">
        <v>146</v>
      </c>
    </row>
    <row r="6" spans="4:14" x14ac:dyDescent="0.3">
      <c r="F6" s="1">
        <v>1</v>
      </c>
      <c r="G6" s="1" t="str" cm="1">
        <f t="array" ref="G6:G30">_xlfn._xlws.SORT(_xlfn.UNIQUE(Table1[Stock_Name],FALSE,FALSE))</f>
        <v>ADANIENT</v>
      </c>
      <c r="H6" s="1" t="str">
        <f>_xlfn.XLOOKUP(G6,Table1[Stock_Name],Table1[Sector])</f>
        <v>Conglomerate</v>
      </c>
      <c r="I6" s="1">
        <f>SUMIF('Cleaned Data'!B5:B119,Holdings!G6,Table1[Quantity])</f>
        <v>486</v>
      </c>
      <c r="J6" s="106">
        <f>SUMIF(Table1[Stock_Name],Holdings!G6,Table1[Current_Value])</f>
        <v>198323.76</v>
      </c>
      <c r="K6" s="106">
        <f>SUMIF(Table1[Stock_Name],Holdings!G6,Table1[Investment_Value])</f>
        <v>231438.78</v>
      </c>
      <c r="L6" s="107">
        <f>J6-K6</f>
        <v>-33115.01999999999</v>
      </c>
      <c r="M6" s="108">
        <f>L6/K6</f>
        <v>-0.14308328103008489</v>
      </c>
      <c r="N6" s="108">
        <f>J6/SUM($J$6:$J$30)</f>
        <v>2.6764491717529188E-3</v>
      </c>
    </row>
    <row r="7" spans="4:14" x14ac:dyDescent="0.3">
      <c r="D7" s="9"/>
      <c r="F7" s="109">
        <v>2</v>
      </c>
      <c r="G7" s="109" t="str">
        <v>ASIANPAINT</v>
      </c>
      <c r="H7" s="109" t="str">
        <f>_xlfn.XLOOKUP(G7,Table1[Stock_Name],Table1[Sector])</f>
        <v>Consumer Durables</v>
      </c>
      <c r="I7" s="109">
        <f>SUMIF('Cleaned Data'!B6:B119,Holdings!G7,Table1[Quantity])</f>
        <v>2051</v>
      </c>
      <c r="J7" s="110">
        <f>SUMIF(Table1[Stock_Name],Holdings!G7,Table1[Current_Value])</f>
        <v>4182114.6700000004</v>
      </c>
      <c r="K7" s="110">
        <f>SUMIF(Table1[Stock_Name],Holdings!G7,Table1[Investment_Value])</f>
        <v>4209112.05</v>
      </c>
      <c r="L7" s="111">
        <f t="shared" ref="L7:L30" si="0">J7-K7</f>
        <v>-26997.379999999423</v>
      </c>
      <c r="M7" s="112">
        <f t="shared" ref="M7:M31" si="1">L7/K7</f>
        <v>-6.4140321472314866E-3</v>
      </c>
      <c r="N7" s="108">
        <f t="shared" ref="N7:N30" si="2">J7/SUM($J$6:$J$30)</f>
        <v>5.6439114227650945E-2</v>
      </c>
    </row>
    <row r="8" spans="4:14" x14ac:dyDescent="0.3">
      <c r="D8" s="10"/>
      <c r="F8" s="1">
        <v>3</v>
      </c>
      <c r="G8" s="1" t="str">
        <v>AXISBANK</v>
      </c>
      <c r="H8" s="1" t="str">
        <f>_xlfn.XLOOKUP(G8,Table1[Stock_Name],Table1[Sector])</f>
        <v>Banking</v>
      </c>
      <c r="I8" s="1">
        <f>SUMIF('Cleaned Data'!B7:B119,Holdings!G8,Table1[Quantity])</f>
        <v>1591</v>
      </c>
      <c r="J8" s="106">
        <f>SUMIF(Table1[Stock_Name],Holdings!G8,Table1[Current_Value])</f>
        <v>3294988.31</v>
      </c>
      <c r="K8" s="106">
        <f>SUMIF(Table1[Stock_Name],Holdings!G8,Table1[Investment_Value])</f>
        <v>3191274.64</v>
      </c>
      <c r="L8" s="107">
        <f t="shared" si="0"/>
        <v>103713.66999999993</v>
      </c>
      <c r="M8" s="108">
        <f t="shared" si="1"/>
        <v>3.2499136457901326E-2</v>
      </c>
      <c r="N8" s="108">
        <f t="shared" si="2"/>
        <v>4.4467030744248945E-2</v>
      </c>
    </row>
    <row r="9" spans="4:14" x14ac:dyDescent="0.3">
      <c r="F9" s="109">
        <v>4</v>
      </c>
      <c r="G9" s="109" t="str">
        <v>BAJFINANCE</v>
      </c>
      <c r="H9" s="109" t="str">
        <f>_xlfn.XLOOKUP(G9,Table1[Stock_Name],Table1[Sector])</f>
        <v>Finance</v>
      </c>
      <c r="I9" s="109">
        <f>SUMIF('Cleaned Data'!B8:B119,Holdings!G9,Table1[Quantity])</f>
        <v>941</v>
      </c>
      <c r="J9" s="110">
        <f>SUMIF(Table1[Stock_Name],Holdings!G9,Table1[Current_Value])</f>
        <v>4169651.4999999995</v>
      </c>
      <c r="K9" s="110">
        <f>SUMIF(Table1[Stock_Name],Holdings!G9,Table1[Investment_Value])</f>
        <v>3761244.73</v>
      </c>
      <c r="L9" s="111">
        <f t="shared" si="0"/>
        <v>408406.76999999955</v>
      </c>
      <c r="M9" s="112">
        <f t="shared" si="1"/>
        <v>0.10858287596723321</v>
      </c>
      <c r="N9" s="108">
        <f t="shared" si="2"/>
        <v>5.6270919347602692E-2</v>
      </c>
    </row>
    <row r="10" spans="4:14" x14ac:dyDescent="0.3">
      <c r="F10" s="1">
        <v>5</v>
      </c>
      <c r="G10" s="1" t="str">
        <v>BHARTIARTL</v>
      </c>
      <c r="H10" s="1" t="str">
        <f>_xlfn.XLOOKUP(G10,Table1[Stock_Name],Table1[Sector])</f>
        <v>Telecom</v>
      </c>
      <c r="I10" s="1">
        <f>SUMIF('Cleaned Data'!B9:B119,Holdings!G10,Table1[Quantity])</f>
        <v>980</v>
      </c>
      <c r="J10" s="106">
        <f>SUMIF(Table1[Stock_Name],Holdings!G10,Table1[Current_Value])</f>
        <v>3502423.3</v>
      </c>
      <c r="K10" s="106">
        <f>SUMIF(Table1[Stock_Name],Holdings!G10,Table1[Investment_Value])</f>
        <v>2495429.15</v>
      </c>
      <c r="L10" s="107">
        <f t="shared" si="0"/>
        <v>1006994.1499999999</v>
      </c>
      <c r="M10" s="108">
        <f t="shared" si="1"/>
        <v>0.40353546002297841</v>
      </c>
      <c r="N10" s="108">
        <f t="shared" si="2"/>
        <v>4.7266439182138957E-2</v>
      </c>
    </row>
    <row r="11" spans="4:14" x14ac:dyDescent="0.3">
      <c r="F11" s="109">
        <v>6</v>
      </c>
      <c r="G11" s="109" t="str">
        <v>CIPLA</v>
      </c>
      <c r="H11" s="109" t="str">
        <f>_xlfn.XLOOKUP(G11,Table1[Stock_Name],Table1[Sector])</f>
        <v>Pharma</v>
      </c>
      <c r="I11" s="109">
        <f>SUMIF('Cleaned Data'!B10:B120,Holdings!G11,Table1[Quantity])</f>
        <v>1405</v>
      </c>
      <c r="J11" s="110">
        <f>SUMIF(Table1[Stock_Name],Holdings!G11,Table1[Current_Value])</f>
        <v>3215405.5599999996</v>
      </c>
      <c r="K11" s="110">
        <f>SUMIF(Table1[Stock_Name],Holdings!G11,Table1[Investment_Value])</f>
        <v>3202371.48</v>
      </c>
      <c r="L11" s="111">
        <f t="shared" si="0"/>
        <v>13034.079999999609</v>
      </c>
      <c r="M11" s="112">
        <f t="shared" si="1"/>
        <v>4.0701336748101471E-3</v>
      </c>
      <c r="N11" s="108">
        <f t="shared" si="2"/>
        <v>4.3393033431353499E-2</v>
      </c>
    </row>
    <row r="12" spans="4:14" x14ac:dyDescent="0.3">
      <c r="F12" s="1">
        <v>7</v>
      </c>
      <c r="G12" s="1" t="str">
        <v>COALINDIA</v>
      </c>
      <c r="H12" s="1" t="str">
        <f>_xlfn.XLOOKUP(G12,Table1[Stock_Name],Table1[Sector])</f>
        <v>Mining</v>
      </c>
      <c r="I12" s="1">
        <f>SUMIF('Cleaned Data'!B11:B121,Holdings!G12,Table1[Quantity])</f>
        <v>1333</v>
      </c>
      <c r="J12" s="106">
        <f>SUMIF(Table1[Stock_Name],Holdings!G12,Table1[Current_Value])</f>
        <v>2293840.2900000005</v>
      </c>
      <c r="K12" s="106">
        <f>SUMIF(Table1[Stock_Name],Holdings!G12,Table1[Investment_Value])</f>
        <v>2206494.3000000003</v>
      </c>
      <c r="L12" s="107">
        <f t="shared" si="0"/>
        <v>87345.990000000224</v>
      </c>
      <c r="M12" s="108">
        <f t="shared" si="1"/>
        <v>3.9585867047107356E-2</v>
      </c>
      <c r="N12" s="108">
        <f t="shared" si="2"/>
        <v>3.0956184696699859E-2</v>
      </c>
    </row>
    <row r="13" spans="4:14" x14ac:dyDescent="0.3">
      <c r="F13" s="109">
        <v>8</v>
      </c>
      <c r="G13" s="109" t="str">
        <v>HCLTECH</v>
      </c>
      <c r="H13" s="109" t="str">
        <f>_xlfn.XLOOKUP(G13,Table1[Stock_Name],Table1[Sector])</f>
        <v>IT</v>
      </c>
      <c r="I13" s="109">
        <f>SUMIF('Cleaned Data'!B12:B122,Holdings!G13,Table1[Quantity])</f>
        <v>670</v>
      </c>
      <c r="J13" s="110">
        <f>SUMIF(Table1[Stock_Name],Holdings!G13,Table1[Current_Value])</f>
        <v>2017530.02</v>
      </c>
      <c r="K13" s="110">
        <f>SUMIF(Table1[Stock_Name],Holdings!G13,Table1[Investment_Value])</f>
        <v>1943586.77</v>
      </c>
      <c r="L13" s="111">
        <f t="shared" si="0"/>
        <v>73943.25</v>
      </c>
      <c r="M13" s="112">
        <f t="shared" si="1"/>
        <v>3.804473828559761E-2</v>
      </c>
      <c r="N13" s="108">
        <f t="shared" si="2"/>
        <v>2.7227280034503427E-2</v>
      </c>
    </row>
    <row r="14" spans="4:14" x14ac:dyDescent="0.3">
      <c r="F14" s="1">
        <v>9</v>
      </c>
      <c r="G14" s="1" t="str">
        <v>HDFCBANK</v>
      </c>
      <c r="H14" s="1" t="str">
        <f>_xlfn.XLOOKUP(G14,Table1[Stock_Name],Table1[Sector])</f>
        <v>Banking</v>
      </c>
      <c r="I14" s="1">
        <f>SUMIF('Cleaned Data'!B13:B123,Holdings!G14,Table1[Quantity])</f>
        <v>1569</v>
      </c>
      <c r="J14" s="106">
        <f>SUMIF(Table1[Stock_Name],Holdings!G14,Table1[Current_Value])</f>
        <v>2770428.02</v>
      </c>
      <c r="K14" s="106">
        <f>SUMIF(Table1[Stock_Name],Holdings!G14,Table1[Investment_Value])</f>
        <v>2529032.0499999998</v>
      </c>
      <c r="L14" s="107">
        <f t="shared" si="0"/>
        <v>241395.9700000002</v>
      </c>
      <c r="M14" s="108">
        <f t="shared" si="1"/>
        <v>9.5449944970052963E-2</v>
      </c>
      <c r="N14" s="108">
        <f t="shared" si="2"/>
        <v>3.7387904402024642E-2</v>
      </c>
    </row>
    <row r="15" spans="4:14" x14ac:dyDescent="0.3">
      <c r="F15" s="109">
        <v>10</v>
      </c>
      <c r="G15" s="109" t="str">
        <v>ICICIBANK</v>
      </c>
      <c r="H15" s="109" t="str">
        <f>_xlfn.XLOOKUP(G15,Table1[Stock_Name],Table1[Sector])</f>
        <v>Banking</v>
      </c>
      <c r="I15" s="109">
        <f>SUMIF('Cleaned Data'!B14:B124,Holdings!G15,Table1[Quantity])</f>
        <v>584</v>
      </c>
      <c r="J15" s="110">
        <f>SUMIF(Table1[Stock_Name],Holdings!G15,Table1[Current_Value])</f>
        <v>622635.12</v>
      </c>
      <c r="K15" s="110">
        <f>SUMIF(Table1[Stock_Name],Holdings!G15,Table1[Investment_Value])</f>
        <v>670679.23</v>
      </c>
      <c r="L15" s="111">
        <f t="shared" si="0"/>
        <v>-48044.109999999986</v>
      </c>
      <c r="M15" s="112">
        <f t="shared" si="1"/>
        <v>-7.1635005008280919E-2</v>
      </c>
      <c r="N15" s="108">
        <f t="shared" si="2"/>
        <v>8.4026808045000716E-3</v>
      </c>
    </row>
    <row r="16" spans="4:14" x14ac:dyDescent="0.3">
      <c r="F16" s="1">
        <v>11</v>
      </c>
      <c r="G16" s="1" t="str">
        <v>INFY</v>
      </c>
      <c r="H16" s="1" t="str">
        <f>_xlfn.XLOOKUP(G16,Table1[Stock_Name],Table1[Sector])</f>
        <v>IT</v>
      </c>
      <c r="I16" s="1">
        <f>SUMIF('Cleaned Data'!B15:B125,Holdings!G16,Table1[Quantity])</f>
        <v>497</v>
      </c>
      <c r="J16" s="106">
        <f>SUMIF(Table1[Stock_Name],Holdings!G16,Table1[Current_Value])</f>
        <v>3085535.2199999997</v>
      </c>
      <c r="K16" s="106">
        <f>SUMIF(Table1[Stock_Name],Holdings!G16,Table1[Investment_Value])</f>
        <v>2718747.5999999996</v>
      </c>
      <c r="L16" s="107">
        <f t="shared" si="0"/>
        <v>366787.62000000011</v>
      </c>
      <c r="M16" s="108">
        <f t="shared" si="1"/>
        <v>0.13491050805893132</v>
      </c>
      <c r="N16" s="108">
        <f t="shared" si="2"/>
        <v>4.1640387334243051E-2</v>
      </c>
    </row>
    <row r="17" spans="6:14" x14ac:dyDescent="0.3">
      <c r="F17" s="109">
        <v>12</v>
      </c>
      <c r="G17" s="109" t="str">
        <v>ITC</v>
      </c>
      <c r="H17" s="109" t="str">
        <f>_xlfn.XLOOKUP(G17,Table1[Stock_Name],Table1[Sector])</f>
        <v>FMCG</v>
      </c>
      <c r="I17" s="109">
        <f>SUMIF('Cleaned Data'!B16:B126,Holdings!G17,Table1[Quantity])</f>
        <v>1543</v>
      </c>
      <c r="J17" s="110">
        <f>SUMIF(Table1[Stock_Name],Holdings!G17,Table1[Current_Value])</f>
        <v>5108036.5599999996</v>
      </c>
      <c r="K17" s="110">
        <f>SUMIF(Table1[Stock_Name],Holdings!G17,Table1[Investment_Value])</f>
        <v>3204614.98</v>
      </c>
      <c r="L17" s="111">
        <f t="shared" si="0"/>
        <v>1903421.5799999996</v>
      </c>
      <c r="M17" s="112">
        <f t="shared" si="1"/>
        <v>0.59396264196455817</v>
      </c>
      <c r="N17" s="108">
        <f t="shared" si="2"/>
        <v>6.8934757087580567E-2</v>
      </c>
    </row>
    <row r="18" spans="6:14" x14ac:dyDescent="0.3">
      <c r="F18" s="1">
        <v>13</v>
      </c>
      <c r="G18" s="1" t="str">
        <v>LT</v>
      </c>
      <c r="H18" s="1" t="str">
        <f>_xlfn.XLOOKUP(G18,Table1[Stock_Name],Table1[Sector])</f>
        <v>Infrastructure</v>
      </c>
      <c r="I18" s="1">
        <f>SUMIF('Cleaned Data'!B17:B127,Holdings!G18,Table1[Quantity])</f>
        <v>1381</v>
      </c>
      <c r="J18" s="106">
        <f>SUMIF(Table1[Stock_Name],Holdings!G18,Table1[Current_Value])</f>
        <v>2382951.77</v>
      </c>
      <c r="K18" s="106">
        <f>SUMIF(Table1[Stock_Name],Holdings!G18,Table1[Investment_Value])</f>
        <v>2516641.12</v>
      </c>
      <c r="L18" s="107">
        <f t="shared" si="0"/>
        <v>-133689.35000000009</v>
      </c>
      <c r="M18" s="108">
        <f t="shared" si="1"/>
        <v>-5.3122135268933411E-2</v>
      </c>
      <c r="N18" s="108">
        <f t="shared" si="2"/>
        <v>3.2158775585656767E-2</v>
      </c>
    </row>
    <row r="19" spans="6:14" x14ac:dyDescent="0.3">
      <c r="F19" s="109">
        <v>14</v>
      </c>
      <c r="G19" s="109" t="str">
        <v>MARUTI</v>
      </c>
      <c r="H19" s="109" t="str">
        <f>_xlfn.XLOOKUP(G19,Table1[Stock_Name],Table1[Sector])</f>
        <v>Auto</v>
      </c>
      <c r="I19" s="109">
        <f>SUMIF('Cleaned Data'!B18:B128,Holdings!G19,Table1[Quantity])</f>
        <v>2096</v>
      </c>
      <c r="J19" s="110">
        <f>SUMIF(Table1[Stock_Name],Holdings!G19,Table1[Current_Value])</f>
        <v>4264720.59</v>
      </c>
      <c r="K19" s="110">
        <f>SUMIF(Table1[Stock_Name],Holdings!G19,Table1[Investment_Value])</f>
        <v>3620356.9299999997</v>
      </c>
      <c r="L19" s="111">
        <f t="shared" si="0"/>
        <v>644363.66000000015</v>
      </c>
      <c r="M19" s="112">
        <f t="shared" si="1"/>
        <v>0.17798346197870613</v>
      </c>
      <c r="N19" s="108">
        <f t="shared" si="2"/>
        <v>5.7553910287214793E-2</v>
      </c>
    </row>
    <row r="20" spans="6:14" x14ac:dyDescent="0.3">
      <c r="F20" s="1">
        <v>15</v>
      </c>
      <c r="G20" s="1" t="str">
        <v>NESTLEIND</v>
      </c>
      <c r="H20" s="1" t="str">
        <f>_xlfn.XLOOKUP(G20,Table1[Stock_Name],Table1[Sector])</f>
        <v>FMCG</v>
      </c>
      <c r="I20" s="1">
        <f>SUMIF('Cleaned Data'!B19:B129,Holdings!G20,Table1[Quantity])</f>
        <v>429</v>
      </c>
      <c r="J20" s="106">
        <f>SUMIF(Table1[Stock_Name],Holdings!G20,Table1[Current_Value])</f>
        <v>1569365.7700000003</v>
      </c>
      <c r="K20" s="106">
        <f>SUMIF(Table1[Stock_Name],Holdings!G20,Table1[Investment_Value])</f>
        <v>1403378.1400000001</v>
      </c>
      <c r="L20" s="107">
        <f t="shared" si="0"/>
        <v>165987.63000000012</v>
      </c>
      <c r="M20" s="108">
        <f t="shared" si="1"/>
        <v>0.11827719505449907</v>
      </c>
      <c r="N20" s="108">
        <f t="shared" si="2"/>
        <v>2.1179145228458162E-2</v>
      </c>
    </row>
    <row r="21" spans="6:14" x14ac:dyDescent="0.3">
      <c r="F21" s="109">
        <v>16</v>
      </c>
      <c r="G21" s="109" t="str">
        <v>NTPC</v>
      </c>
      <c r="H21" s="109" t="str">
        <f>_xlfn.XLOOKUP(G21,Table1[Stock_Name],Table1[Sector])</f>
        <v>Power</v>
      </c>
      <c r="I21" s="109">
        <f>SUMIF('Cleaned Data'!B20:B130,Holdings!G21,Table1[Quantity])</f>
        <v>1399</v>
      </c>
      <c r="J21" s="110">
        <f>SUMIF(Table1[Stock_Name],Holdings!G21,Table1[Current_Value])</f>
        <v>5427495.7299999995</v>
      </c>
      <c r="K21" s="110">
        <f>SUMIF(Table1[Stock_Name],Holdings!G21,Table1[Investment_Value])</f>
        <v>5248171.03</v>
      </c>
      <c r="L21" s="111">
        <f t="shared" si="0"/>
        <v>179324.69999999925</v>
      </c>
      <c r="M21" s="112">
        <f t="shared" si="1"/>
        <v>3.4168989344083786E-2</v>
      </c>
      <c r="N21" s="108">
        <f t="shared" si="2"/>
        <v>7.3245971391682971E-2</v>
      </c>
    </row>
    <row r="22" spans="6:14" x14ac:dyDescent="0.3">
      <c r="F22" s="1">
        <v>17</v>
      </c>
      <c r="G22" s="1" t="str">
        <v>POWERGRID</v>
      </c>
      <c r="H22" s="1" t="str">
        <f>_xlfn.XLOOKUP(G22,Table1[Stock_Name],Table1[Sector])</f>
        <v>Power</v>
      </c>
      <c r="I22" s="1">
        <f>SUMIF('Cleaned Data'!B21:B131,Holdings!G22,Table1[Quantity])</f>
        <v>1397</v>
      </c>
      <c r="J22" s="106">
        <f>SUMIF(Table1[Stock_Name],Holdings!G22,Table1[Current_Value])</f>
        <v>6047502.7999999998</v>
      </c>
      <c r="K22" s="106">
        <f>SUMIF(Table1[Stock_Name],Holdings!G22,Table1[Investment_Value])</f>
        <v>5135027.6500000004</v>
      </c>
      <c r="L22" s="107">
        <f t="shared" si="0"/>
        <v>912475.14999999944</v>
      </c>
      <c r="M22" s="108">
        <f t="shared" si="1"/>
        <v>0.17769624862682082</v>
      </c>
      <c r="N22" s="108">
        <f t="shared" si="2"/>
        <v>8.1613185733436358E-2</v>
      </c>
    </row>
    <row r="23" spans="6:14" x14ac:dyDescent="0.3">
      <c r="F23" s="109">
        <v>18</v>
      </c>
      <c r="G23" s="109" t="str">
        <v>RELIANCE</v>
      </c>
      <c r="H23" s="109" t="str">
        <f>_xlfn.XLOOKUP(G23,Table1[Stock_Name],Table1[Sector])</f>
        <v>Energy</v>
      </c>
      <c r="I23" s="109">
        <f>SUMIF('Cleaned Data'!B22:B132,Holdings!G23,Table1[Quantity])</f>
        <v>96</v>
      </c>
      <c r="J23" s="110">
        <f>SUMIF(Table1[Stock_Name],Holdings!G23,Table1[Current_Value])</f>
        <v>270133.64999999997</v>
      </c>
      <c r="K23" s="110">
        <f>SUMIF(Table1[Stock_Name],Holdings!G23,Table1[Investment_Value])</f>
        <v>238835.6</v>
      </c>
      <c r="L23" s="111">
        <f t="shared" si="0"/>
        <v>31298.049999999959</v>
      </c>
      <c r="M23" s="112">
        <f t="shared" si="1"/>
        <v>0.1310443250503692</v>
      </c>
      <c r="N23" s="108">
        <f t="shared" si="2"/>
        <v>3.6455489942561229E-3</v>
      </c>
    </row>
    <row r="24" spans="6:14" x14ac:dyDescent="0.3">
      <c r="F24" s="1">
        <v>19</v>
      </c>
      <c r="G24" s="1" t="str">
        <v>SBIN</v>
      </c>
      <c r="H24" s="1" t="str">
        <f>_xlfn.XLOOKUP(G24,Table1[Stock_Name],Table1[Sector])</f>
        <v>Banking</v>
      </c>
      <c r="I24" s="1">
        <f>SUMIF('Cleaned Data'!B23:B133,Holdings!G24,Table1[Quantity])</f>
        <v>2527</v>
      </c>
      <c r="J24" s="106">
        <f>SUMIF(Table1[Stock_Name],Holdings!G24,Table1[Current_Value])</f>
        <v>4238379.6899999995</v>
      </c>
      <c r="K24" s="106">
        <f>SUMIF(Table1[Stock_Name],Holdings!G24,Table1[Investment_Value])</f>
        <v>4629419.9400000004</v>
      </c>
      <c r="L24" s="107">
        <f t="shared" si="0"/>
        <v>-391040.25000000093</v>
      </c>
      <c r="M24" s="108">
        <f t="shared" si="1"/>
        <v>-8.4468519829290087E-2</v>
      </c>
      <c r="N24" s="108">
        <f t="shared" si="2"/>
        <v>5.7198430540419821E-2</v>
      </c>
    </row>
    <row r="25" spans="6:14" x14ac:dyDescent="0.3">
      <c r="F25" s="109">
        <v>20</v>
      </c>
      <c r="G25" s="109" t="str">
        <v>SUNPHARMA</v>
      </c>
      <c r="H25" s="109" t="str">
        <f>_xlfn.XLOOKUP(G25,Table1[Stock_Name],Table1[Sector])</f>
        <v>Pharma</v>
      </c>
      <c r="I25" s="109">
        <f>SUMIF('Cleaned Data'!B24:B134,Holdings!G25,Table1[Quantity])</f>
        <v>567</v>
      </c>
      <c r="J25" s="110">
        <f>SUMIF(Table1[Stock_Name],Holdings!G25,Table1[Current_Value])</f>
        <v>632475.19000000006</v>
      </c>
      <c r="K25" s="110">
        <f>SUMIF(Table1[Stock_Name],Holdings!G25,Table1[Investment_Value])</f>
        <v>614451.48</v>
      </c>
      <c r="L25" s="111">
        <f t="shared" si="0"/>
        <v>18023.710000000079</v>
      </c>
      <c r="M25" s="112">
        <f t="shared" si="1"/>
        <v>2.9333007709575507E-2</v>
      </c>
      <c r="N25" s="108">
        <f t="shared" si="2"/>
        <v>8.5354760237995181E-3</v>
      </c>
    </row>
    <row r="26" spans="6:14" x14ac:dyDescent="0.3">
      <c r="F26" s="1">
        <v>21</v>
      </c>
      <c r="G26" s="1" t="str">
        <v>TCS</v>
      </c>
      <c r="H26" s="1" t="str">
        <f>_xlfn.XLOOKUP(G26,Table1[Stock_Name],Table1[Sector])</f>
        <v>IT</v>
      </c>
      <c r="I26" s="1">
        <f>SUMIF('Cleaned Data'!B25:B135,Holdings!G26,Table1[Quantity])</f>
        <v>529</v>
      </c>
      <c r="J26" s="106">
        <f>SUMIF(Table1[Stock_Name],Holdings!G26,Table1[Current_Value])</f>
        <v>4808437.0600000005</v>
      </c>
      <c r="K26" s="106">
        <f>SUMIF(Table1[Stock_Name],Holdings!G26,Table1[Investment_Value])</f>
        <v>4784667.3900000006</v>
      </c>
      <c r="L26" s="107">
        <f t="shared" si="0"/>
        <v>23769.669999999925</v>
      </c>
      <c r="M26" s="108">
        <f t="shared" si="1"/>
        <v>4.9678834624280795E-3</v>
      </c>
      <c r="N26" s="108">
        <f t="shared" si="2"/>
        <v>6.4891556042821291E-2</v>
      </c>
    </row>
    <row r="27" spans="6:14" x14ac:dyDescent="0.3">
      <c r="F27" s="109">
        <v>22</v>
      </c>
      <c r="G27" s="109" t="str">
        <v>TECHM</v>
      </c>
      <c r="H27" s="109" t="str">
        <f>_xlfn.XLOOKUP(G27,Table1[Stock_Name],Table1[Sector])</f>
        <v>IT</v>
      </c>
      <c r="I27" s="109">
        <f>SUMIF('Cleaned Data'!B26:B136,Holdings!G27,Table1[Quantity])</f>
        <v>1025</v>
      </c>
      <c r="J27" s="110">
        <f>SUMIF(Table1[Stock_Name],Holdings!G27,Table1[Current_Value])</f>
        <v>1849938.77</v>
      </c>
      <c r="K27" s="110">
        <f>SUMIF(Table1[Stock_Name],Holdings!G27,Table1[Investment_Value])</f>
        <v>1847214.52</v>
      </c>
      <c r="L27" s="111">
        <f t="shared" si="0"/>
        <v>2724.25</v>
      </c>
      <c r="M27" s="112">
        <f t="shared" si="1"/>
        <v>1.4747881041991808E-3</v>
      </c>
      <c r="N27" s="108">
        <f t="shared" si="2"/>
        <v>2.4965576937226851E-2</v>
      </c>
    </row>
    <row r="28" spans="6:14" x14ac:dyDescent="0.3">
      <c r="F28" s="1">
        <v>23</v>
      </c>
      <c r="G28" s="1" t="str">
        <v>TITAN</v>
      </c>
      <c r="H28" s="1" t="str">
        <f>_xlfn.XLOOKUP(G28,Table1[Stock_Name],Table1[Sector])</f>
        <v>Consumer Durables</v>
      </c>
      <c r="I28" s="1">
        <f>SUMIF('Cleaned Data'!B27:B137,Holdings!G28,Table1[Quantity])</f>
        <v>715</v>
      </c>
      <c r="J28" s="106">
        <f>SUMIF(Table1[Stock_Name],Holdings!G28,Table1[Current_Value])</f>
        <v>2883263.31</v>
      </c>
      <c r="K28" s="106">
        <f>SUMIF(Table1[Stock_Name],Holdings!G28,Table1[Investment_Value])</f>
        <v>2650490.9799999995</v>
      </c>
      <c r="L28" s="107">
        <f t="shared" si="0"/>
        <v>232772.33000000054</v>
      </c>
      <c r="M28" s="108">
        <f t="shared" si="1"/>
        <v>8.7822343768172564E-2</v>
      </c>
      <c r="N28" s="108">
        <f t="shared" si="2"/>
        <v>3.8910656484099929E-2</v>
      </c>
    </row>
    <row r="29" spans="6:14" x14ac:dyDescent="0.3">
      <c r="F29" s="109">
        <v>24</v>
      </c>
      <c r="G29" s="109" t="str">
        <v>ULTRACEMCO</v>
      </c>
      <c r="H29" s="109" t="str">
        <f>_xlfn.XLOOKUP(G29,Table1[Stock_Name],Table1[Sector])</f>
        <v>Cement</v>
      </c>
      <c r="I29" s="109">
        <f>SUMIF('Cleaned Data'!B28:B138,Holdings!G29,Table1[Quantity])</f>
        <v>874</v>
      </c>
      <c r="J29" s="110">
        <f>SUMIF(Table1[Stock_Name],Holdings!G29,Table1[Current_Value])</f>
        <v>3158990.84</v>
      </c>
      <c r="K29" s="110">
        <f>SUMIF(Table1[Stock_Name],Holdings!G29,Table1[Investment_Value])</f>
        <v>2989483.34</v>
      </c>
      <c r="L29" s="111">
        <f t="shared" si="0"/>
        <v>169507.5</v>
      </c>
      <c r="M29" s="112">
        <f t="shared" si="1"/>
        <v>5.6701269323681865E-2</v>
      </c>
      <c r="N29" s="108">
        <f t="shared" si="2"/>
        <v>4.263169686422371E-2</v>
      </c>
    </row>
    <row r="30" spans="6:14" x14ac:dyDescent="0.3">
      <c r="F30" s="1">
        <v>25</v>
      </c>
      <c r="G30" s="1" t="str">
        <v>WIPRO</v>
      </c>
      <c r="H30" s="1" t="str">
        <f>_xlfn.XLOOKUP(G30,Table1[Stock_Name],Table1[Sector])</f>
        <v>IT</v>
      </c>
      <c r="I30" s="1">
        <f>SUMIF('Cleaned Data'!B29:B139,Holdings!G30,Table1[Quantity])</f>
        <v>690</v>
      </c>
      <c r="J30" s="106">
        <f>SUMIF(Table1[Stock_Name],Holdings!G30,Table1[Current_Value])</f>
        <v>2105012.6799999997</v>
      </c>
      <c r="K30" s="106">
        <f>SUMIF(Table1[Stock_Name],Holdings!G30,Table1[Investment_Value])</f>
        <v>2204316.0300000003</v>
      </c>
      <c r="L30" s="107">
        <f t="shared" si="0"/>
        <v>-99303.350000000559</v>
      </c>
      <c r="M30" s="108">
        <f t="shared" si="1"/>
        <v>-4.5049506807787694E-2</v>
      </c>
      <c r="N30" s="108">
        <f t="shared" si="2"/>
        <v>2.8407889422404006E-2</v>
      </c>
    </row>
    <row r="31" spans="6:14" x14ac:dyDescent="0.3">
      <c r="F31" s="116"/>
      <c r="G31" s="117" t="s">
        <v>147</v>
      </c>
      <c r="H31" s="117"/>
      <c r="I31" s="117">
        <f>SUM(I6:I30)</f>
        <v>27375</v>
      </c>
      <c r="J31" s="118">
        <f>SUM(J6:J30)</f>
        <v>74099580.180000007</v>
      </c>
      <c r="K31" s="118">
        <f>SUM(K6:K30)</f>
        <v>68246479.909999996</v>
      </c>
      <c r="L31" s="118">
        <f>SUM(L6:L30)</f>
        <v>5853100.2699999968</v>
      </c>
      <c r="M31" s="119">
        <f t="shared" si="1"/>
        <v>8.5764134321927948E-2</v>
      </c>
      <c r="N31" s="120">
        <f>SUM(N6:N30)</f>
        <v>1.0000000000000002</v>
      </c>
    </row>
  </sheetData>
  <mergeCells count="1">
    <mergeCell ref="F3:N4"/>
  </mergeCells>
  <conditionalFormatting sqref="I6:I30">
    <cfRule type="dataBar" priority="4">
      <dataBar>
        <cfvo type="min"/>
        <cfvo type="max"/>
        <color theme="3" tint="0.39997558519241921"/>
      </dataBar>
      <extLst>
        <ext xmlns:x14="http://schemas.microsoft.com/office/spreadsheetml/2009/9/main" uri="{B025F937-C7B1-47D3-B67F-A62EFF666E3E}">
          <x14:id>{07271D50-4833-4CD7-8F77-3F9DF95D80D2}</x14:id>
        </ext>
      </extLst>
    </cfRule>
    <cfRule type="dataBar" priority="14">
      <dataBar>
        <cfvo type="min"/>
        <cfvo type="max"/>
        <color rgb="FF638EC6"/>
      </dataBar>
      <extLst>
        <ext xmlns:x14="http://schemas.microsoft.com/office/spreadsheetml/2009/9/main" uri="{B025F937-C7B1-47D3-B67F-A62EFF666E3E}">
          <x14:id>{DAD8B572-E071-4850-B37D-DC012F2D98C6}</x14:id>
        </ext>
      </extLst>
    </cfRule>
  </conditionalFormatting>
  <conditionalFormatting sqref="J6:J30">
    <cfRule type="dataBar" priority="3">
      <dataBar>
        <cfvo type="min"/>
        <cfvo type="max"/>
        <color rgb="FF92D050"/>
      </dataBar>
      <extLst>
        <ext xmlns:x14="http://schemas.microsoft.com/office/spreadsheetml/2009/9/main" uri="{B025F937-C7B1-47D3-B67F-A62EFF666E3E}">
          <x14:id>{D5FB5067-9450-4B76-896C-48684F8AAF28}</x14:id>
        </ext>
      </extLst>
    </cfRule>
    <cfRule type="dataBar" priority="13">
      <dataBar>
        <cfvo type="min"/>
        <cfvo type="max"/>
        <color rgb="FF63C384"/>
      </dataBar>
      <extLst>
        <ext xmlns:x14="http://schemas.microsoft.com/office/spreadsheetml/2009/9/main" uri="{B025F937-C7B1-47D3-B67F-A62EFF666E3E}">
          <x14:id>{D91EF9FE-9F01-4880-B0A6-B2A243D56447}</x14:id>
        </ext>
      </extLst>
    </cfRule>
  </conditionalFormatting>
  <conditionalFormatting sqref="K6:K30">
    <cfRule type="dataBar" priority="2">
      <dataBar>
        <cfvo type="min"/>
        <cfvo type="max"/>
        <color rgb="FFFFC000"/>
      </dataBar>
      <extLst>
        <ext xmlns:x14="http://schemas.microsoft.com/office/spreadsheetml/2009/9/main" uri="{B025F937-C7B1-47D3-B67F-A62EFF666E3E}">
          <x14:id>{FB03880A-DFD1-4A0D-B317-B1E0063DC6E0}</x14:id>
        </ext>
      </extLst>
    </cfRule>
    <cfRule type="dataBar" priority="12">
      <dataBar>
        <cfvo type="min"/>
        <cfvo type="max"/>
        <color rgb="FFFFB628"/>
      </dataBar>
      <extLst>
        <ext xmlns:x14="http://schemas.microsoft.com/office/spreadsheetml/2009/9/main" uri="{B025F937-C7B1-47D3-B67F-A62EFF666E3E}">
          <x14:id>{E0D34FBE-961A-452E-ACAD-7CBDE86A165F}</x14:id>
        </ext>
      </extLst>
    </cfRule>
  </conditionalFormatting>
  <conditionalFormatting sqref="L6:L30">
    <cfRule type="dataBar" priority="1">
      <dataBar>
        <cfvo type="min"/>
        <cfvo type="max"/>
        <color rgb="FF00B050"/>
      </dataBar>
      <extLst>
        <ext xmlns:x14="http://schemas.microsoft.com/office/spreadsheetml/2009/9/main" uri="{B025F937-C7B1-47D3-B67F-A62EFF666E3E}">
          <x14:id>{E502B39E-B99D-4EBA-ADE6-1BC2B8E080EC}</x14:id>
        </ext>
      </extLst>
    </cfRule>
    <cfRule type="dataBar" priority="11">
      <dataBar>
        <cfvo type="min"/>
        <cfvo type="max"/>
        <color rgb="FF63C384"/>
      </dataBar>
      <extLst>
        <ext xmlns:x14="http://schemas.microsoft.com/office/spreadsheetml/2009/9/main" uri="{B025F937-C7B1-47D3-B67F-A62EFF666E3E}">
          <x14:id>{F89251EA-5233-4C79-BB22-3E8592DD6803}</x14:id>
        </ext>
      </extLst>
    </cfRule>
  </conditionalFormatting>
  <conditionalFormatting sqref="M6:M31">
    <cfRule type="colorScale" priority="10">
      <colorScale>
        <cfvo type="min"/>
        <cfvo type="percentile" val="50"/>
        <cfvo type="max"/>
        <color rgb="FFF8696B"/>
        <color rgb="FFFCFCFF"/>
        <color rgb="FF5A8AC6"/>
      </colorScale>
    </cfRule>
  </conditionalFormatting>
  <conditionalFormatting sqref="N6:N30">
    <cfRule type="dataBar" priority="5">
      <dataBar>
        <cfvo type="min"/>
        <cfvo type="max"/>
        <color theme="8" tint="0.39997558519241921"/>
      </dataBar>
      <extLst>
        <ext xmlns:x14="http://schemas.microsoft.com/office/spreadsheetml/2009/9/main" uri="{B025F937-C7B1-47D3-B67F-A62EFF666E3E}">
          <x14:id>{60884852-64EA-45CF-9F70-EC6F2637C64A}</x14:id>
        </ext>
      </extLst>
    </cfRule>
    <cfRule type="dataBar" priority="6">
      <dataBar>
        <cfvo type="min"/>
        <cfvo type="max"/>
        <color theme="7" tint="-0.249977111117893"/>
      </dataBar>
      <extLst>
        <ext xmlns:x14="http://schemas.microsoft.com/office/spreadsheetml/2009/9/main" uri="{B025F937-C7B1-47D3-B67F-A62EFF666E3E}">
          <x14:id>{46F03519-1C08-4E3C-A5AE-726452089170}</x14:id>
        </ext>
      </extLst>
    </cfRule>
    <cfRule type="dataBar" priority="7">
      <dataBar>
        <cfvo type="min"/>
        <cfvo type="max"/>
        <color rgb="FF63C384"/>
      </dataBar>
      <extLst>
        <ext xmlns:x14="http://schemas.microsoft.com/office/spreadsheetml/2009/9/main" uri="{B025F937-C7B1-47D3-B67F-A62EFF666E3E}">
          <x14:id>{71054B47-0393-4262-BB4E-763BEFD2D620}</x14:id>
        </ext>
      </extLst>
    </cfRule>
    <cfRule type="dataBar" priority="9">
      <dataBar>
        <cfvo type="min"/>
        <cfvo type="max"/>
        <color rgb="FF63C384"/>
      </dataBar>
      <extLst>
        <ext xmlns:x14="http://schemas.microsoft.com/office/spreadsheetml/2009/9/main" uri="{B025F937-C7B1-47D3-B67F-A62EFF666E3E}">
          <x14:id>{C39EF816-F3A9-44E2-9FF4-9C574B287585}</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7271D50-4833-4CD7-8F77-3F9DF95D80D2}">
            <x14:dataBar minLength="0" maxLength="100">
              <x14:cfvo type="autoMin"/>
              <x14:cfvo type="autoMax"/>
              <x14:negativeFillColor rgb="FFFF0000"/>
              <x14:axisColor rgb="FF000000"/>
            </x14:dataBar>
          </x14:cfRule>
          <x14:cfRule type="dataBar" id="{DAD8B572-E071-4850-B37D-DC012F2D98C6}">
            <x14:dataBar minLength="0" maxLength="100" border="1" negativeBarBorderColorSameAsPositive="0">
              <x14:cfvo type="autoMin"/>
              <x14:cfvo type="autoMax"/>
              <x14:borderColor rgb="FF638EC6"/>
              <x14:negativeFillColor rgb="FFFF0000"/>
              <x14:negativeBorderColor rgb="FFFF0000"/>
              <x14:axisColor rgb="FF000000"/>
            </x14:dataBar>
          </x14:cfRule>
          <xm:sqref>I6:I30</xm:sqref>
        </x14:conditionalFormatting>
        <x14:conditionalFormatting xmlns:xm="http://schemas.microsoft.com/office/excel/2006/main">
          <x14:cfRule type="dataBar" id="{D5FB5067-9450-4B76-896C-48684F8AAF28}">
            <x14:dataBar minLength="0" maxLength="100">
              <x14:cfvo type="autoMin"/>
              <x14:cfvo type="autoMax"/>
              <x14:negativeFillColor rgb="FFFF0000"/>
              <x14:axisColor rgb="FF000000"/>
            </x14:dataBar>
          </x14:cfRule>
          <x14:cfRule type="dataBar" id="{D91EF9FE-9F01-4880-B0A6-B2A243D56447}">
            <x14:dataBar minLength="0" maxLength="100" border="1" negativeBarBorderColorSameAsPositive="0">
              <x14:cfvo type="autoMin"/>
              <x14:cfvo type="autoMax"/>
              <x14:borderColor rgb="FF63C384"/>
              <x14:negativeFillColor rgb="FFFF0000"/>
              <x14:negativeBorderColor rgb="FFFF0000"/>
              <x14:axisColor rgb="FF000000"/>
            </x14:dataBar>
          </x14:cfRule>
          <xm:sqref>J6:J30</xm:sqref>
        </x14:conditionalFormatting>
        <x14:conditionalFormatting xmlns:xm="http://schemas.microsoft.com/office/excel/2006/main">
          <x14:cfRule type="dataBar" id="{FB03880A-DFD1-4A0D-B317-B1E0063DC6E0}">
            <x14:dataBar minLength="0" maxLength="100">
              <x14:cfvo type="autoMin"/>
              <x14:cfvo type="autoMax"/>
              <x14:negativeFillColor rgb="FFFF0000"/>
              <x14:axisColor rgb="FF000000"/>
            </x14:dataBar>
          </x14:cfRule>
          <x14:cfRule type="dataBar" id="{E0D34FBE-961A-452E-ACAD-7CBDE86A165F}">
            <x14:dataBar minLength="0" maxLength="100" border="1" negativeBarBorderColorSameAsPositive="0">
              <x14:cfvo type="autoMin"/>
              <x14:cfvo type="autoMax"/>
              <x14:borderColor rgb="FFFFB628"/>
              <x14:negativeFillColor rgb="FFFF0000"/>
              <x14:negativeBorderColor rgb="FFFF0000"/>
              <x14:axisColor rgb="FF000000"/>
            </x14:dataBar>
          </x14:cfRule>
          <xm:sqref>K6:K30</xm:sqref>
        </x14:conditionalFormatting>
        <x14:conditionalFormatting xmlns:xm="http://schemas.microsoft.com/office/excel/2006/main">
          <x14:cfRule type="dataBar" id="{E502B39E-B99D-4EBA-ADE6-1BC2B8E080EC}">
            <x14:dataBar minLength="0" maxLength="100">
              <x14:cfvo type="autoMin"/>
              <x14:cfvo type="autoMax"/>
              <x14:negativeFillColor rgb="FFFF0000"/>
              <x14:axisColor rgb="FF000000"/>
            </x14:dataBar>
          </x14:cfRule>
          <x14:cfRule type="dataBar" id="{F89251EA-5233-4C79-BB22-3E8592DD6803}">
            <x14:dataBar minLength="0" maxLength="100" border="1" negativeBarBorderColorSameAsPositive="0">
              <x14:cfvo type="autoMin"/>
              <x14:cfvo type="autoMax"/>
              <x14:borderColor rgb="FF63C384"/>
              <x14:negativeFillColor rgb="FFFF0000"/>
              <x14:negativeBorderColor rgb="FFFF0000"/>
              <x14:axisColor rgb="FF000000"/>
            </x14:dataBar>
          </x14:cfRule>
          <xm:sqref>L6:L30</xm:sqref>
        </x14:conditionalFormatting>
        <x14:conditionalFormatting xmlns:xm="http://schemas.microsoft.com/office/excel/2006/main">
          <x14:cfRule type="dataBar" id="{60884852-64EA-45CF-9F70-EC6F2637C64A}">
            <x14:dataBar minLength="0" maxLength="100">
              <x14:cfvo type="autoMin"/>
              <x14:cfvo type="autoMax"/>
              <x14:negativeFillColor rgb="FFFF0000"/>
              <x14:axisColor rgb="FF000000"/>
            </x14:dataBar>
          </x14:cfRule>
          <x14:cfRule type="dataBar" id="{46F03519-1C08-4E3C-A5AE-726452089170}">
            <x14:dataBar minLength="0" maxLength="100" gradient="0">
              <x14:cfvo type="autoMin"/>
              <x14:cfvo type="autoMax"/>
              <x14:negativeFillColor rgb="FFFF0000"/>
              <x14:axisColor rgb="FF000000"/>
            </x14:dataBar>
          </x14:cfRule>
          <x14:cfRule type="dataBar" id="{71054B47-0393-4262-BB4E-763BEFD2D620}">
            <x14:dataBar minLength="0" maxLength="100" border="1" negativeBarBorderColorSameAsPositive="0">
              <x14:cfvo type="autoMin"/>
              <x14:cfvo type="autoMax"/>
              <x14:borderColor rgb="FF63C384"/>
              <x14:negativeFillColor rgb="FFFF0000"/>
              <x14:negativeBorderColor rgb="FFFF0000"/>
              <x14:axisColor rgb="FF000000"/>
            </x14:dataBar>
          </x14:cfRule>
          <x14:cfRule type="dataBar" id="{C39EF816-F3A9-44E2-9FF4-9C574B287585}">
            <x14:dataBar minLength="0" maxLength="100" border="1" negativeBarBorderColorSameAsPositive="0">
              <x14:cfvo type="autoMin"/>
              <x14:cfvo type="autoMax"/>
              <x14:borderColor rgb="FF63C384"/>
              <x14:negativeFillColor rgb="FFFF0000"/>
              <x14:negativeBorderColor rgb="FFFF0000"/>
              <x14:axisColor rgb="FF000000"/>
            </x14:dataBar>
          </x14:cfRule>
          <xm:sqref>N6:N30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CDB67-150D-41A5-BB97-0C5F89BEC685}">
  <sheetPr codeName="Sheet3"/>
  <dimension ref="A1:L29"/>
  <sheetViews>
    <sheetView zoomScaleNormal="100" workbookViewId="0">
      <selection sqref="A1:B2"/>
    </sheetView>
  </sheetViews>
  <sheetFormatPr defaultRowHeight="14.4" x14ac:dyDescent="0.3"/>
  <cols>
    <col min="1" max="1" width="14.77734375" style="7" bestFit="1" customWidth="1"/>
    <col min="2" max="2" width="23.109375" style="7" bestFit="1" customWidth="1"/>
    <col min="3" max="3" width="8.88671875" style="7"/>
    <col min="4" max="4" width="14.77734375" style="7" bestFit="1" customWidth="1"/>
    <col min="5" max="5" width="21.5546875" style="7" bestFit="1" customWidth="1"/>
    <col min="6" max="6" width="6.33203125" style="7" bestFit="1" customWidth="1"/>
    <col min="7" max="7" width="14.77734375" style="7" bestFit="1" customWidth="1"/>
    <col min="8" max="8" width="16.6640625" style="7" bestFit="1" customWidth="1"/>
    <col min="9" max="9" width="14.109375" style="7" bestFit="1" customWidth="1"/>
    <col min="10" max="10" width="14.77734375" style="7" bestFit="1" customWidth="1"/>
    <col min="11" max="11" width="23.109375" style="7" bestFit="1" customWidth="1"/>
    <col min="12" max="12" width="19.77734375" style="7" bestFit="1" customWidth="1"/>
    <col min="13" max="13" width="23.109375" style="7" bestFit="1" customWidth="1"/>
    <col min="14" max="14" width="12" style="7" bestFit="1" customWidth="1"/>
    <col min="15" max="15" width="20.6640625" style="7" bestFit="1" customWidth="1"/>
    <col min="16" max="16" width="24.5546875" style="7" bestFit="1" customWidth="1"/>
    <col min="17" max="17" width="19.6640625" style="7" bestFit="1" customWidth="1"/>
    <col min="18" max="18" width="23.88671875" style="7" bestFit="1" customWidth="1"/>
    <col min="19" max="19" width="27.88671875" style="7" bestFit="1" customWidth="1"/>
    <col min="20" max="16384" width="8.88671875" style="7"/>
  </cols>
  <sheetData>
    <row r="1" spans="1:12" x14ac:dyDescent="0.3">
      <c r="A1" s="96" t="s">
        <v>166</v>
      </c>
      <c r="B1" s="97"/>
      <c r="D1" s="92" t="s">
        <v>169</v>
      </c>
      <c r="E1" s="93"/>
      <c r="G1" s="100" t="s">
        <v>167</v>
      </c>
      <c r="H1" s="89"/>
      <c r="J1" s="101" t="s">
        <v>168</v>
      </c>
      <c r="K1" s="86"/>
      <c r="L1" s="86"/>
    </row>
    <row r="2" spans="1:12" x14ac:dyDescent="0.3">
      <c r="A2" s="97"/>
      <c r="B2" s="97"/>
      <c r="D2" s="93"/>
      <c r="E2" s="93"/>
      <c r="G2" s="89"/>
      <c r="H2" s="89"/>
      <c r="J2" s="86"/>
      <c r="K2" s="86"/>
      <c r="L2" s="86"/>
    </row>
    <row r="3" spans="1:12" x14ac:dyDescent="0.3">
      <c r="A3" s="98" t="s">
        <v>158</v>
      </c>
      <c r="B3" s="98" t="s">
        <v>161</v>
      </c>
      <c r="D3" s="94" t="s">
        <v>158</v>
      </c>
      <c r="E3" s="94" t="s">
        <v>164</v>
      </c>
      <c r="G3" s="90" t="s">
        <v>158</v>
      </c>
      <c r="H3" s="90" t="s">
        <v>163</v>
      </c>
      <c r="J3" s="87" t="s">
        <v>158</v>
      </c>
      <c r="K3" s="87" t="s">
        <v>161</v>
      </c>
      <c r="L3" s="87" t="s">
        <v>162</v>
      </c>
    </row>
    <row r="4" spans="1:12" x14ac:dyDescent="0.3">
      <c r="A4" s="98" t="s">
        <v>47</v>
      </c>
      <c r="B4" s="99">
        <v>231438.78</v>
      </c>
      <c r="D4" s="94" t="s">
        <v>22</v>
      </c>
      <c r="E4" s="95">
        <v>19</v>
      </c>
      <c r="G4" s="90" t="s">
        <v>47</v>
      </c>
      <c r="H4" s="91">
        <v>-33115.019999999968</v>
      </c>
      <c r="J4" s="87" t="s">
        <v>47</v>
      </c>
      <c r="K4" s="88">
        <v>231438.78</v>
      </c>
      <c r="L4" s="88">
        <v>198323.76</v>
      </c>
    </row>
    <row r="5" spans="1:12" x14ac:dyDescent="0.3">
      <c r="A5" s="98" t="s">
        <v>20</v>
      </c>
      <c r="B5" s="99">
        <v>4209112.05</v>
      </c>
      <c r="D5" s="94" t="s">
        <v>11</v>
      </c>
      <c r="E5" s="95">
        <v>29</v>
      </c>
      <c r="G5" s="90" t="s">
        <v>20</v>
      </c>
      <c r="H5" s="91">
        <v>-26997.379999999954</v>
      </c>
      <c r="J5" s="87" t="s">
        <v>20</v>
      </c>
      <c r="K5" s="88">
        <v>4209112.05</v>
      </c>
      <c r="L5" s="88">
        <v>4182114.6700000004</v>
      </c>
    </row>
    <row r="6" spans="1:12" x14ac:dyDescent="0.3">
      <c r="A6" s="98" t="s">
        <v>29</v>
      </c>
      <c r="B6" s="99">
        <v>3191274.64</v>
      </c>
      <c r="D6" s="94" t="s">
        <v>37</v>
      </c>
      <c r="E6" s="95">
        <v>19</v>
      </c>
      <c r="G6" s="90" t="s">
        <v>29</v>
      </c>
      <c r="H6" s="91">
        <v>103713.66999999979</v>
      </c>
      <c r="J6" s="87" t="s">
        <v>29</v>
      </c>
      <c r="K6" s="88">
        <v>3191274.64</v>
      </c>
      <c r="L6" s="88">
        <v>3294988.31</v>
      </c>
    </row>
    <row r="7" spans="1:12" x14ac:dyDescent="0.3">
      <c r="A7" s="98" t="s">
        <v>52</v>
      </c>
      <c r="B7" s="99">
        <v>3761244.73</v>
      </c>
      <c r="D7" s="94" t="s">
        <v>35</v>
      </c>
      <c r="E7" s="95">
        <v>21</v>
      </c>
      <c r="G7" s="90" t="s">
        <v>52</v>
      </c>
      <c r="H7" s="91">
        <v>408406.76999999967</v>
      </c>
      <c r="J7" s="87" t="s">
        <v>52</v>
      </c>
      <c r="K7" s="88">
        <v>3761244.73</v>
      </c>
      <c r="L7" s="88">
        <v>4169651.4999999995</v>
      </c>
    </row>
    <row r="8" spans="1:12" x14ac:dyDescent="0.3">
      <c r="A8" s="98" t="s">
        <v>24</v>
      </c>
      <c r="B8" s="99">
        <v>2495429.15</v>
      </c>
      <c r="D8" s="94" t="s">
        <v>30</v>
      </c>
      <c r="E8" s="95">
        <v>27</v>
      </c>
      <c r="G8" s="90" t="s">
        <v>24</v>
      </c>
      <c r="H8" s="91">
        <v>1006994.1499999998</v>
      </c>
      <c r="J8" s="87" t="s">
        <v>24</v>
      </c>
      <c r="K8" s="88">
        <v>2495429.15</v>
      </c>
      <c r="L8" s="88">
        <v>3502423.3</v>
      </c>
    </row>
    <row r="9" spans="1:12" x14ac:dyDescent="0.3">
      <c r="A9" s="98" t="s">
        <v>33</v>
      </c>
      <c r="B9" s="99">
        <v>3202371.48</v>
      </c>
      <c r="D9" s="94" t="s">
        <v>159</v>
      </c>
      <c r="E9" s="95">
        <v>115</v>
      </c>
      <c r="G9" s="90" t="s">
        <v>33</v>
      </c>
      <c r="H9" s="91">
        <v>13034.080000000075</v>
      </c>
      <c r="J9" s="87" t="s">
        <v>33</v>
      </c>
      <c r="K9" s="88">
        <v>3202371.48</v>
      </c>
      <c r="L9" s="88">
        <v>3215405.5599999996</v>
      </c>
    </row>
    <row r="10" spans="1:12" x14ac:dyDescent="0.3">
      <c r="A10" s="98" t="s">
        <v>70</v>
      </c>
      <c r="B10" s="99">
        <v>2206494.3000000003</v>
      </c>
      <c r="G10" s="90" t="s">
        <v>70</v>
      </c>
      <c r="H10" s="91">
        <v>87345.989999999831</v>
      </c>
      <c r="J10" s="87" t="s">
        <v>70</v>
      </c>
      <c r="K10" s="88">
        <v>2206494.3000000003</v>
      </c>
      <c r="L10" s="88">
        <v>2293840.2900000005</v>
      </c>
    </row>
    <row r="11" spans="1:12" x14ac:dyDescent="0.3">
      <c r="A11" s="98" t="s">
        <v>66</v>
      </c>
      <c r="B11" s="99">
        <v>1943586.77</v>
      </c>
      <c r="G11" s="90" t="s">
        <v>66</v>
      </c>
      <c r="H11" s="91">
        <v>73943.249999999767</v>
      </c>
      <c r="J11" s="87" t="s">
        <v>66</v>
      </c>
      <c r="K11" s="88">
        <v>1943586.77</v>
      </c>
      <c r="L11" s="88">
        <v>2017530.02</v>
      </c>
    </row>
    <row r="12" spans="1:12" x14ac:dyDescent="0.3">
      <c r="A12" s="98" t="s">
        <v>17</v>
      </c>
      <c r="B12" s="99">
        <v>2529032.0499999998</v>
      </c>
      <c r="G12" s="90" t="s">
        <v>17</v>
      </c>
      <c r="H12" s="91">
        <v>241395.97000000018</v>
      </c>
      <c r="J12" s="87" t="s">
        <v>17</v>
      </c>
      <c r="K12" s="88">
        <v>2529032.0499999998</v>
      </c>
      <c r="L12" s="88">
        <v>2770428.02</v>
      </c>
    </row>
    <row r="13" spans="1:12" x14ac:dyDescent="0.3">
      <c r="A13" s="98" t="s">
        <v>69</v>
      </c>
      <c r="B13" s="99">
        <v>670679.23</v>
      </c>
      <c r="G13" s="90" t="s">
        <v>69</v>
      </c>
      <c r="H13" s="91">
        <v>-48044.109999999986</v>
      </c>
      <c r="J13" s="87" t="s">
        <v>69</v>
      </c>
      <c r="K13" s="88">
        <v>670679.23</v>
      </c>
      <c r="L13" s="88">
        <v>622635.12</v>
      </c>
    </row>
    <row r="14" spans="1:12" x14ac:dyDescent="0.3">
      <c r="A14" s="98" t="s">
        <v>73</v>
      </c>
      <c r="B14" s="99">
        <v>2718747.5999999996</v>
      </c>
      <c r="G14" s="90" t="s">
        <v>73</v>
      </c>
      <c r="H14" s="91">
        <v>366787.6199999997</v>
      </c>
      <c r="J14" s="87" t="s">
        <v>73</v>
      </c>
      <c r="K14" s="88">
        <v>2718747.5999999996</v>
      </c>
      <c r="L14" s="88">
        <v>3085535.2199999997</v>
      </c>
    </row>
    <row r="15" spans="1:12" x14ac:dyDescent="0.3">
      <c r="A15" s="98" t="s">
        <v>88</v>
      </c>
      <c r="B15" s="99">
        <v>3204614.98</v>
      </c>
      <c r="G15" s="90" t="s">
        <v>88</v>
      </c>
      <c r="H15" s="91">
        <v>1903421.5799999996</v>
      </c>
      <c r="J15" s="87" t="s">
        <v>88</v>
      </c>
      <c r="K15" s="88">
        <v>3204614.98</v>
      </c>
      <c r="L15" s="88">
        <v>5108036.5599999996</v>
      </c>
    </row>
    <row r="16" spans="1:12" x14ac:dyDescent="0.3">
      <c r="A16" s="98" t="s">
        <v>26</v>
      </c>
      <c r="B16" s="99">
        <v>2516641.12</v>
      </c>
      <c r="G16" s="90" t="s">
        <v>26</v>
      </c>
      <c r="H16" s="91">
        <v>-133689.35000000015</v>
      </c>
      <c r="J16" s="87" t="s">
        <v>26</v>
      </c>
      <c r="K16" s="88">
        <v>2516641.12</v>
      </c>
      <c r="L16" s="88">
        <v>2382951.77</v>
      </c>
    </row>
    <row r="17" spans="1:12" x14ac:dyDescent="0.3">
      <c r="A17" s="98" t="s">
        <v>55</v>
      </c>
      <c r="B17" s="99">
        <v>3620356.9299999997</v>
      </c>
      <c r="G17" s="90" t="s">
        <v>55</v>
      </c>
      <c r="H17" s="91">
        <v>644363.6599999998</v>
      </c>
      <c r="J17" s="87" t="s">
        <v>55</v>
      </c>
      <c r="K17" s="88">
        <v>3620356.9299999997</v>
      </c>
      <c r="L17" s="88">
        <v>4264720.59</v>
      </c>
    </row>
    <row r="18" spans="1:12" x14ac:dyDescent="0.3">
      <c r="A18" s="98" t="s">
        <v>42</v>
      </c>
      <c r="B18" s="99">
        <v>1403378.1400000001</v>
      </c>
      <c r="G18" s="90" t="s">
        <v>42</v>
      </c>
      <c r="H18" s="91">
        <v>165987.62999999989</v>
      </c>
      <c r="J18" s="87" t="s">
        <v>42</v>
      </c>
      <c r="K18" s="88">
        <v>1403378.1400000001</v>
      </c>
      <c r="L18" s="88">
        <v>1569365.7700000003</v>
      </c>
    </row>
    <row r="19" spans="1:12" x14ac:dyDescent="0.3">
      <c r="A19" s="98" t="s">
        <v>79</v>
      </c>
      <c r="B19" s="99">
        <v>5248171.03</v>
      </c>
      <c r="G19" s="90" t="s">
        <v>79</v>
      </c>
      <c r="H19" s="91">
        <v>179324.69999999978</v>
      </c>
      <c r="J19" s="87" t="s">
        <v>79</v>
      </c>
      <c r="K19" s="88">
        <v>5248171.03</v>
      </c>
      <c r="L19" s="88">
        <v>5427495.7299999995</v>
      </c>
    </row>
    <row r="20" spans="1:12" x14ac:dyDescent="0.3">
      <c r="A20" s="98" t="s">
        <v>60</v>
      </c>
      <c r="B20" s="99">
        <v>5135027.6500000004</v>
      </c>
      <c r="G20" s="90" t="s">
        <v>60</v>
      </c>
      <c r="H20" s="91">
        <v>912475.14999999956</v>
      </c>
      <c r="J20" s="87" t="s">
        <v>60</v>
      </c>
      <c r="K20" s="88">
        <v>5135027.6500000004</v>
      </c>
      <c r="L20" s="88">
        <v>6047502.7999999998</v>
      </c>
    </row>
    <row r="21" spans="1:12" x14ac:dyDescent="0.3">
      <c r="A21" s="98" t="s">
        <v>121</v>
      </c>
      <c r="B21" s="99">
        <v>238835.6</v>
      </c>
      <c r="G21" s="90" t="s">
        <v>121</v>
      </c>
      <c r="H21" s="91">
        <v>31298.049999999959</v>
      </c>
      <c r="J21" s="87" t="s">
        <v>121</v>
      </c>
      <c r="K21" s="88">
        <v>238835.6</v>
      </c>
      <c r="L21" s="88">
        <v>270133.64999999997</v>
      </c>
    </row>
    <row r="22" spans="1:12" x14ac:dyDescent="0.3">
      <c r="A22" s="98" t="s">
        <v>14</v>
      </c>
      <c r="B22" s="99">
        <v>4629419.9400000004</v>
      </c>
      <c r="G22" s="90" t="s">
        <v>14</v>
      </c>
      <c r="H22" s="91">
        <v>-391040.25000000006</v>
      </c>
      <c r="J22" s="87" t="s">
        <v>14</v>
      </c>
      <c r="K22" s="88">
        <v>4629419.9400000004</v>
      </c>
      <c r="L22" s="88">
        <v>4238379.6899999995</v>
      </c>
    </row>
    <row r="23" spans="1:12" x14ac:dyDescent="0.3">
      <c r="A23" s="98" t="s">
        <v>76</v>
      </c>
      <c r="B23" s="99">
        <v>614451.48</v>
      </c>
      <c r="G23" s="90" t="s">
        <v>76</v>
      </c>
      <c r="H23" s="91">
        <v>18023.71</v>
      </c>
      <c r="J23" s="87" t="s">
        <v>76</v>
      </c>
      <c r="K23" s="88">
        <v>614451.48</v>
      </c>
      <c r="L23" s="88">
        <v>632475.19000000006</v>
      </c>
    </row>
    <row r="24" spans="1:12" x14ac:dyDescent="0.3">
      <c r="A24" s="98" t="s">
        <v>105</v>
      </c>
      <c r="B24" s="99">
        <v>4784667.3900000006</v>
      </c>
      <c r="G24" s="90" t="s">
        <v>105</v>
      </c>
      <c r="H24" s="91">
        <v>23769.669999999835</v>
      </c>
      <c r="J24" s="87" t="s">
        <v>105</v>
      </c>
      <c r="K24" s="88">
        <v>4784667.3900000006</v>
      </c>
      <c r="L24" s="88">
        <v>4808437.0600000005</v>
      </c>
    </row>
    <row r="25" spans="1:12" x14ac:dyDescent="0.3">
      <c r="A25" s="98" t="s">
        <v>40</v>
      </c>
      <c r="B25" s="99">
        <v>1847214.52</v>
      </c>
      <c r="G25" s="90" t="s">
        <v>40</v>
      </c>
      <c r="H25" s="91">
        <v>2724.2499999998836</v>
      </c>
      <c r="J25" s="87" t="s">
        <v>40</v>
      </c>
      <c r="K25" s="88">
        <v>1847214.52</v>
      </c>
      <c r="L25" s="88">
        <v>1849938.77</v>
      </c>
    </row>
    <row r="26" spans="1:12" x14ac:dyDescent="0.3">
      <c r="A26" s="98" t="s">
        <v>50</v>
      </c>
      <c r="B26" s="99">
        <v>2650490.9799999995</v>
      </c>
      <c r="G26" s="90" t="s">
        <v>50</v>
      </c>
      <c r="H26" s="91">
        <v>232772.3300000001</v>
      </c>
      <c r="J26" s="87" t="s">
        <v>50</v>
      </c>
      <c r="K26" s="88">
        <v>2650490.9799999995</v>
      </c>
      <c r="L26" s="88">
        <v>2883263.31</v>
      </c>
    </row>
    <row r="27" spans="1:12" x14ac:dyDescent="0.3">
      <c r="A27" s="98" t="s">
        <v>63</v>
      </c>
      <c r="B27" s="99">
        <v>2989483.34</v>
      </c>
      <c r="G27" s="90" t="s">
        <v>63</v>
      </c>
      <c r="H27" s="91">
        <v>169507.49999999983</v>
      </c>
      <c r="J27" s="87" t="s">
        <v>63</v>
      </c>
      <c r="K27" s="88">
        <v>2989483.34</v>
      </c>
      <c r="L27" s="88">
        <v>3158990.84</v>
      </c>
    </row>
    <row r="28" spans="1:12" x14ac:dyDescent="0.3">
      <c r="A28" s="98" t="s">
        <v>9</v>
      </c>
      <c r="B28" s="99">
        <v>2204316.0300000003</v>
      </c>
      <c r="G28" s="90" t="s">
        <v>9</v>
      </c>
      <c r="H28" s="91">
        <v>-99303.350000000108</v>
      </c>
      <c r="J28" s="87" t="s">
        <v>9</v>
      </c>
      <c r="K28" s="88">
        <v>2204316.0300000003</v>
      </c>
      <c r="L28" s="88">
        <v>2105012.6799999997</v>
      </c>
    </row>
    <row r="29" spans="1:12" x14ac:dyDescent="0.3">
      <c r="A29" s="98" t="s">
        <v>159</v>
      </c>
      <c r="B29" s="99">
        <v>68246479.909999996</v>
      </c>
      <c r="G29" s="90" t="s">
        <v>159</v>
      </c>
      <c r="H29" s="91">
        <v>5853100.2699999968</v>
      </c>
      <c r="J29" s="87" t="s">
        <v>159</v>
      </c>
      <c r="K29" s="88">
        <v>68246479.909999996</v>
      </c>
      <c r="L29" s="88">
        <v>74099580.180000007</v>
      </c>
    </row>
  </sheetData>
  <mergeCells count="4">
    <mergeCell ref="A1:B2"/>
    <mergeCell ref="D1:E2"/>
    <mergeCell ref="G1:H2"/>
    <mergeCell ref="J1:L2"/>
  </mergeCells>
  <pageMargins left="0.7" right="0.7" top="0.75" bottom="0.75" header="0.3" footer="0.3"/>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45399-D109-471D-863E-95D17D85E982}">
  <dimension ref="A1:AA3"/>
  <sheetViews>
    <sheetView tabSelected="1" zoomScale="96" zoomScaleNormal="96" workbookViewId="0">
      <selection activeCell="K42" sqref="K42"/>
    </sheetView>
  </sheetViews>
  <sheetFormatPr defaultRowHeight="14.4" x14ac:dyDescent="0.3"/>
  <sheetData>
    <row r="1" spans="1:27" ht="14.4" customHeight="1" x14ac:dyDescent="0.3">
      <c r="A1" s="103" t="s">
        <v>173</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row>
    <row r="2" spans="1:27" ht="14.4" customHeight="1" x14ac:dyDescent="0.3">
      <c r="A2" s="103"/>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row>
    <row r="3" spans="1:27" ht="14.4" customHeight="1" x14ac:dyDescent="0.3">
      <c r="A3" s="103"/>
      <c r="B3" s="103"/>
      <c r="C3" s="103"/>
      <c r="D3" s="103"/>
      <c r="E3" s="103"/>
      <c r="F3" s="103"/>
      <c r="G3" s="103"/>
      <c r="H3" s="103"/>
      <c r="I3" s="103"/>
      <c r="J3" s="103"/>
      <c r="K3" s="103"/>
      <c r="L3" s="103"/>
      <c r="M3" s="103"/>
      <c r="N3" s="103"/>
      <c r="O3" s="103"/>
      <c r="P3" s="103"/>
      <c r="Q3" s="103"/>
      <c r="R3" s="103"/>
      <c r="S3" s="103"/>
      <c r="T3" s="103"/>
      <c r="U3" s="103"/>
      <c r="V3" s="103"/>
      <c r="W3" s="103"/>
      <c r="X3" s="103"/>
      <c r="Y3" s="103"/>
      <c r="Z3" s="103"/>
      <c r="AA3" s="103"/>
    </row>
  </sheetData>
  <mergeCells count="1">
    <mergeCell ref="A1:AA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Raw_Stock_Portfolio_Data</vt:lpstr>
      <vt:lpstr>Cleaned Data</vt:lpstr>
      <vt:lpstr>Data Cleaning Process</vt:lpstr>
      <vt:lpstr>Add Stock</vt:lpstr>
      <vt:lpstr>Holdings</vt:lpstr>
      <vt:lpstr>Portfolio Analysis</vt:lpstr>
      <vt:lpstr>Visualization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Sarthak Mukherjee</cp:lastModifiedBy>
  <dcterms:created xsi:type="dcterms:W3CDTF">2026-05-19T09:05:16Z</dcterms:created>
  <dcterms:modified xsi:type="dcterms:W3CDTF">2026-05-20T04:05:08Z</dcterms:modified>
</cp:coreProperties>
</file>