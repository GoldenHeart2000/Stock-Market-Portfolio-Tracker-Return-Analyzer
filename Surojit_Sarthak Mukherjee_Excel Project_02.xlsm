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mukhe\Downloads\"/>
    </mc:Choice>
  </mc:AlternateContent>
  <xr:revisionPtr revIDLastSave="0" documentId="13_ncr:1_{19F16625-E5A2-42EF-B47F-6B694962DB1A}" xr6:coauthVersionLast="47" xr6:coauthVersionMax="47" xr10:uidLastSave="{00000000-0000-0000-0000-000000000000}"/>
  <bookViews>
    <workbookView xWindow="-108" yWindow="-108" windowWidth="23256" windowHeight="12456" xr2:uid="{00000000-000D-0000-FFFF-FFFF00000000}"/>
  </bookViews>
  <sheets>
    <sheet name="Home" sheetId="6" r:id="rId1"/>
    <sheet name="Uncleaned Data 1" sheetId="7" r:id="rId2"/>
    <sheet name="Cleaned Data 1" sheetId="8" r:id="rId3"/>
    <sheet name="Cleaned Data 2" sheetId="1" r:id="rId4"/>
    <sheet name="Pivot Tables" sheetId="5" r:id="rId5"/>
    <sheet name="Dashboard" sheetId="2" r:id="rId6"/>
  </sheets>
  <definedNames>
    <definedName name="_xlcn.WorksheetConnection_SarthakMukherjee_ExcelProject_02.xlsmTable11" hidden="1">Table1[]</definedName>
    <definedName name="Slicer_Recommendation">#N/A</definedName>
    <definedName name="Slicer_Recommendation1">#N/A</definedName>
    <definedName name="Slicer_Sector">#N/A</definedName>
    <definedName name="Slicer_Sector1">#N/A</definedName>
    <definedName name="Slicer_Stock">#N/A</definedName>
  </definedNames>
  <calcPr calcId="191029" iterateDelta="1E-4"/>
  <pivotCaches>
    <pivotCache cacheId="16"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rthak Mukherjee_Excel Project_02.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8" l="1"/>
  <c r="I4" i="8"/>
  <c r="I5" i="8"/>
  <c r="I6" i="8"/>
  <c r="I7" i="8"/>
  <c r="I8" i="8"/>
  <c r="I9" i="8"/>
  <c r="I12" i="8"/>
  <c r="I13" i="8"/>
  <c r="I14" i="8"/>
  <c r="I15" i="8"/>
  <c r="I16" i="8"/>
  <c r="I17" i="8"/>
  <c r="G11" i="6"/>
  <c r="G12" i="6"/>
  <c r="G13" i="6"/>
  <c r="G14" i="6"/>
  <c r="G15" i="6"/>
  <c r="G16" i="6"/>
  <c r="G17" i="6"/>
  <c r="G18" i="6"/>
  <c r="G19" i="6"/>
  <c r="G20" i="6"/>
  <c r="A7" i="6" s="1"/>
  <c r="H11" i="6"/>
  <c r="H12" i="6"/>
  <c r="H13" i="6"/>
  <c r="H14" i="6"/>
  <c r="H15" i="6"/>
  <c r="H16" i="6"/>
  <c r="H17" i="6"/>
  <c r="H18" i="6"/>
  <c r="H19" i="6"/>
  <c r="A11" i="6"/>
  <c r="A12" i="6"/>
  <c r="A13" i="6"/>
  <c r="A14" i="6"/>
  <c r="A15" i="6"/>
  <c r="A16" i="6"/>
  <c r="A17" i="6"/>
  <c r="A18" i="6"/>
  <c r="A19" i="6"/>
  <c r="I13" i="6" l="1"/>
  <c r="I14" i="6"/>
  <c r="I12" i="6"/>
  <c r="I15" i="6"/>
  <c r="I18" i="6"/>
  <c r="I17" i="6"/>
  <c r="I16" i="6"/>
  <c r="H20" i="6"/>
  <c r="E7" i="6" s="1"/>
  <c r="I19" i="6"/>
  <c r="I11" i="6"/>
  <c r="I20" i="6" s="1"/>
  <c r="I2" i="8"/>
  <c r="K2" i="8"/>
  <c r="K3" i="8"/>
  <c r="K4" i="8"/>
  <c r="K5" i="8"/>
  <c r="K6" i="8"/>
  <c r="K7" i="8"/>
  <c r="K8" i="8"/>
  <c r="K9" i="8"/>
  <c r="K10" i="8"/>
  <c r="K11" i="8"/>
  <c r="K12" i="8"/>
  <c r="K13" i="8"/>
  <c r="K14" i="8"/>
  <c r="K15" i="8"/>
  <c r="K16" i="8"/>
  <c r="K17" i="8"/>
  <c r="J17" i="8"/>
  <c r="H17" i="8"/>
  <c r="G17" i="8"/>
  <c r="F17" i="8"/>
  <c r="E17" i="8"/>
  <c r="D17" i="8"/>
  <c r="C17" i="8"/>
  <c r="B17" i="8"/>
  <c r="A17" i="8"/>
  <c r="J16" i="8"/>
  <c r="H16" i="8"/>
  <c r="G16" i="8"/>
  <c r="F16" i="8"/>
  <c r="E16" i="8"/>
  <c r="D16" i="8"/>
  <c r="C16" i="8"/>
  <c r="B16" i="8"/>
  <c r="A16" i="8"/>
  <c r="J15" i="8"/>
  <c r="H15" i="8"/>
  <c r="G15" i="8"/>
  <c r="F15" i="8"/>
  <c r="E15" i="8"/>
  <c r="D15" i="8"/>
  <c r="C15" i="8"/>
  <c r="B15" i="8"/>
  <c r="A15" i="8"/>
  <c r="J14" i="8"/>
  <c r="H14" i="8"/>
  <c r="G14" i="8"/>
  <c r="F14" i="8"/>
  <c r="E14" i="8"/>
  <c r="D14" i="8"/>
  <c r="C14" i="8"/>
  <c r="B14" i="8"/>
  <c r="A14" i="8"/>
  <c r="J13" i="8"/>
  <c r="H13" i="8"/>
  <c r="G13" i="8"/>
  <c r="F13" i="8"/>
  <c r="E13" i="8"/>
  <c r="D13" i="8"/>
  <c r="C13" i="8"/>
  <c r="B13" i="8"/>
  <c r="A13" i="8"/>
  <c r="J12" i="8"/>
  <c r="H12" i="8"/>
  <c r="G12" i="8"/>
  <c r="F12" i="8"/>
  <c r="E12" i="8"/>
  <c r="D12" i="8"/>
  <c r="C12" i="8"/>
  <c r="B12" i="8"/>
  <c r="A12" i="8"/>
  <c r="J11" i="8"/>
  <c r="H11" i="8"/>
  <c r="G11" i="8"/>
  <c r="F11" i="8"/>
  <c r="E11" i="8"/>
  <c r="D11" i="8"/>
  <c r="C11" i="8"/>
  <c r="B11" i="8"/>
  <c r="A11" i="8"/>
  <c r="J10" i="8"/>
  <c r="H10" i="8"/>
  <c r="G10" i="8"/>
  <c r="F10" i="8"/>
  <c r="E10" i="8"/>
  <c r="D10" i="8"/>
  <c r="C10" i="8"/>
  <c r="B10" i="8"/>
  <c r="A10" i="8"/>
  <c r="H9" i="8"/>
  <c r="G9" i="8"/>
  <c r="F9" i="8"/>
  <c r="E9" i="8"/>
  <c r="D9" i="8"/>
  <c r="C9" i="8"/>
  <c r="B9" i="8"/>
  <c r="A9" i="8"/>
  <c r="J8" i="8"/>
  <c r="H8" i="8"/>
  <c r="G8" i="8"/>
  <c r="F8" i="8"/>
  <c r="E8" i="8"/>
  <c r="D8" i="8"/>
  <c r="C8" i="8"/>
  <c r="B8" i="8"/>
  <c r="A8" i="8"/>
  <c r="J7" i="8"/>
  <c r="H7" i="8"/>
  <c r="G7" i="8"/>
  <c r="F7" i="8"/>
  <c r="E7" i="8"/>
  <c r="D7" i="8"/>
  <c r="C7" i="8"/>
  <c r="B7" i="8"/>
  <c r="A7" i="8"/>
  <c r="J6" i="8"/>
  <c r="H6" i="8"/>
  <c r="G6" i="8"/>
  <c r="F6" i="8"/>
  <c r="E6" i="8"/>
  <c r="D6" i="8"/>
  <c r="C6" i="8"/>
  <c r="B6" i="8"/>
  <c r="A6" i="8"/>
  <c r="J5" i="8"/>
  <c r="H5" i="8"/>
  <c r="G5" i="8"/>
  <c r="F5" i="8"/>
  <c r="E5" i="8"/>
  <c r="D5" i="8"/>
  <c r="C5" i="8"/>
  <c r="B5" i="8"/>
  <c r="A5" i="8"/>
  <c r="J4" i="8"/>
  <c r="H4" i="8"/>
  <c r="G4" i="8"/>
  <c r="F4" i="8"/>
  <c r="E4" i="8"/>
  <c r="D4" i="8"/>
  <c r="C4" i="8"/>
  <c r="B4" i="8"/>
  <c r="A4" i="8"/>
  <c r="J3" i="8"/>
  <c r="H3" i="8"/>
  <c r="G3" i="8"/>
  <c r="F3" i="8"/>
  <c r="E3" i="8"/>
  <c r="D3" i="8"/>
  <c r="C3" i="8"/>
  <c r="B3" i="8"/>
  <c r="A3" i="8"/>
  <c r="J2" i="8"/>
  <c r="H2" i="8"/>
  <c r="G2" i="8"/>
  <c r="F2" i="8"/>
  <c r="E2" i="8"/>
  <c r="D2" i="8"/>
  <c r="C2" i="8"/>
  <c r="B2" i="8"/>
  <c r="A2" i="8"/>
  <c r="K3" i="1"/>
  <c r="K4" i="1"/>
  <c r="K5" i="1"/>
  <c r="K6" i="1"/>
  <c r="K7" i="1"/>
  <c r="K8" i="1"/>
  <c r="K9" i="1"/>
  <c r="K2" i="1"/>
  <c r="A1" i="1"/>
  <c r="J19" i="6" l="1"/>
  <c r="K19" i="6" s="1"/>
  <c r="J16" i="6"/>
  <c r="K16" i="6" s="1"/>
  <c r="J14" i="6"/>
  <c r="K14" i="6" s="1"/>
  <c r="J13" i="6"/>
  <c r="K13" i="6" s="1"/>
  <c r="M7" i="6"/>
  <c r="J12" i="6"/>
  <c r="K12" i="6" s="1"/>
  <c r="J18" i="6"/>
  <c r="K18" i="6" s="1"/>
  <c r="J11" i="6"/>
  <c r="K11" i="6" s="1"/>
  <c r="J17" i="6"/>
  <c r="K17" i="6" s="1"/>
  <c r="J15" i="6"/>
  <c r="K15" i="6" s="1"/>
  <c r="I7"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C6408E-61BC-4B78-A112-F2525B899E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7617E07-4720-4B05-8357-D98DF12C6982}" name="WorksheetConnection_Sarthak Mukherjee_Excel Project_02.xlsm!Table1" type="102" refreshedVersion="8" minRefreshableVersion="5">
    <extLst>
      <ext xmlns:x15="http://schemas.microsoft.com/office/spreadsheetml/2010/11/main" uri="{DE250136-89BD-433C-8126-D09CA5730AF9}">
        <x15:connection id="Table1" autoDelete="1">
          <x15:rangePr sourceName="_xlcn.WorksheetConnection_SarthakMukherjee_ExcelProject_02.xlsmTable11"/>
        </x15:connection>
      </ext>
    </extLst>
  </connection>
</connections>
</file>

<file path=xl/sharedStrings.xml><?xml version="1.0" encoding="utf-8"?>
<sst xmlns="http://schemas.openxmlformats.org/spreadsheetml/2006/main" count="228" uniqueCount="122">
  <si>
    <t>Stock</t>
  </si>
  <si>
    <t>Sector</t>
  </si>
  <si>
    <t>Buy Price</t>
  </si>
  <si>
    <t>Current Price</t>
  </si>
  <si>
    <t>Quantity</t>
  </si>
  <si>
    <t>Investment</t>
  </si>
  <si>
    <t>Current Value</t>
  </si>
  <si>
    <t>Profit/Loss</t>
  </si>
  <si>
    <t>Return %</t>
  </si>
  <si>
    <t>Recommendation</t>
  </si>
  <si>
    <t>2025-01-01</t>
  </si>
  <si>
    <t>Reliance</t>
  </si>
  <si>
    <t>Energy</t>
  </si>
  <si>
    <t>BUY</t>
  </si>
  <si>
    <t>2025-01-02</t>
  </si>
  <si>
    <t>TCS</t>
  </si>
  <si>
    <t>IT</t>
  </si>
  <si>
    <t>SELL</t>
  </si>
  <si>
    <t>2025-01-03</t>
  </si>
  <si>
    <t>Infosys</t>
  </si>
  <si>
    <t>HOLD</t>
  </si>
  <si>
    <t>2025-01-04</t>
  </si>
  <si>
    <t>HDFC Bank</t>
  </si>
  <si>
    <t>Banking</t>
  </si>
  <si>
    <t>2025-01-05</t>
  </si>
  <si>
    <t>ICICI Bank</t>
  </si>
  <si>
    <t>2025-01-06</t>
  </si>
  <si>
    <t>ITC</t>
  </si>
  <si>
    <t>FMCG</t>
  </si>
  <si>
    <t>2025-01-07</t>
  </si>
  <si>
    <t>Wipro</t>
  </si>
  <si>
    <t>2025-01-08</t>
  </si>
  <si>
    <t>Sun Pharma</t>
  </si>
  <si>
    <t>Healthcare</t>
  </si>
  <si>
    <t>Row Labels</t>
  </si>
  <si>
    <t>Grand Total</t>
  </si>
  <si>
    <t>Sum of Investment</t>
  </si>
  <si>
    <t>Sum of Current Value</t>
  </si>
  <si>
    <t>Sum of Profit/Loss</t>
  </si>
  <si>
    <t>Sum of Return %</t>
  </si>
  <si>
    <t>NIFTY 50 STOCK MARKET PORTFOLIO TRACKER
&amp; RETURN ANALYZER DASHBOARD</t>
  </si>
  <si>
    <t>Sum of Quantity</t>
  </si>
  <si>
    <t>Pivot Table 1</t>
  </si>
  <si>
    <t>Pivot Table 2</t>
  </si>
  <si>
    <t>Pivot Table  3</t>
  </si>
  <si>
    <t>Pivot Table  4</t>
  </si>
  <si>
    <t>📈 NIFTY 50 STOCK MARKET PORTFOLIO TRACKER</t>
  </si>
  <si>
    <t>Sl No</t>
  </si>
  <si>
    <t>SBI</t>
  </si>
  <si>
    <t xml:space="preserve">DATE </t>
  </si>
  <si>
    <t>stock name</t>
  </si>
  <si>
    <t>SECTOR</t>
  </si>
  <si>
    <t>buy price (₹)</t>
  </si>
  <si>
    <t>Current  Price</t>
  </si>
  <si>
    <t>QTY</t>
  </si>
  <si>
    <t>investment</t>
  </si>
  <si>
    <t>curr. value</t>
  </si>
  <si>
    <t>P&amp;L</t>
  </si>
  <si>
    <t>return%</t>
  </si>
  <si>
    <t>Reco.</t>
  </si>
  <si>
    <t>Notes</t>
  </si>
  <si>
    <t>01-01-2025</t>
  </si>
  <si>
    <t>Good stock</t>
  </si>
  <si>
    <t>Jan 2, 2025</t>
  </si>
  <si>
    <t>2025/01/03</t>
  </si>
  <si>
    <t xml:space="preserve"> Infosys </t>
  </si>
  <si>
    <t>Hold</t>
  </si>
  <si>
    <t>04-Jan-2025</t>
  </si>
  <si>
    <t>banking</t>
  </si>
  <si>
    <t>Duplicate?</t>
  </si>
  <si>
    <t>40</t>
  </si>
  <si>
    <t>06/01/2025</t>
  </si>
  <si>
    <t xml:space="preserve">FMCG </t>
  </si>
  <si>
    <t>hold</t>
  </si>
  <si>
    <t>7-Jan-25</t>
  </si>
  <si>
    <t>520</t>
  </si>
  <si>
    <t>N/A</t>
  </si>
  <si>
    <t>2025-01-09</t>
  </si>
  <si>
    <t>BANKING</t>
  </si>
  <si>
    <t>10/01/2025</t>
  </si>
  <si>
    <t>Axis Bank</t>
  </si>
  <si>
    <t>7.27%</t>
  </si>
  <si>
    <t>2025-01-11</t>
  </si>
  <si>
    <t>HUL</t>
  </si>
  <si>
    <t>fmcg</t>
  </si>
  <si>
    <t>Error?</t>
  </si>
  <si>
    <t>2025-01-12</t>
  </si>
  <si>
    <t>Bajaj Finance</t>
  </si>
  <si>
    <t>Finance</t>
  </si>
  <si>
    <t>Strong buy</t>
  </si>
  <si>
    <t>13-01-2025</t>
  </si>
  <si>
    <t>Maruti</t>
  </si>
  <si>
    <t>Auto</t>
  </si>
  <si>
    <t>₹10500</t>
  </si>
  <si>
    <t>2025-01-14</t>
  </si>
  <si>
    <t>ONGC</t>
  </si>
  <si>
    <t>Wrong return</t>
  </si>
  <si>
    <t>15-01-2025</t>
  </si>
  <si>
    <t>Nestle</t>
  </si>
  <si>
    <t>BYYY</t>
  </si>
  <si>
    <t>Power Grid</t>
  </si>
  <si>
    <t>Utilities</t>
  </si>
  <si>
    <t>2025-01-16</t>
  </si>
  <si>
    <t>Unknown Stock</t>
  </si>
  <si>
    <t>Date</t>
  </si>
  <si>
    <t>Stock Name</t>
  </si>
  <si>
    <t>💼</t>
  </si>
  <si>
    <t>📈</t>
  </si>
  <si>
    <t>💰</t>
  </si>
  <si>
    <t>🎯</t>
  </si>
  <si>
    <t>Total Invested</t>
  </si>
  <si>
    <t>Portfolio Value</t>
  </si>
  <si>
    <t>Net P&amp;L</t>
  </si>
  <si>
    <t>Overall ROI</t>
  </si>
  <si>
    <t>Recomemdation</t>
  </si>
  <si>
    <t>Total</t>
  </si>
  <si>
    <t>Signal</t>
  </si>
  <si>
    <t>Uncleaned Data</t>
  </si>
  <si>
    <t>Dashboard</t>
  </si>
  <si>
    <t>Pivot Tables</t>
  </si>
  <si>
    <t xml:space="preserve">⚠️ UNCLEANED / RAW DATA </t>
  </si>
  <si>
    <t xml:space="preserve">Click To View Other Sheets for Total Idea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</si>
</sst>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164" formatCode="_(* #,##0.00_);_(* \(#,##0.00\);_(* &quot;-&quot;??_);_(@_)"/>
    <numFmt numFmtId="165" formatCode="&quot;₹&quot;\ #,##0.00"/>
  </numFmts>
  <fonts count="24" x14ac:knownFonts="1">
    <font>
      <sz val="11"/>
      <color theme="1"/>
      <name val="Calibri"/>
      <family val="2"/>
      <scheme val="minor"/>
    </font>
    <font>
      <sz val="14"/>
      <color theme="1"/>
      <name val="Calibri"/>
      <family val="2"/>
      <scheme val="minor"/>
    </font>
    <font>
      <sz val="18"/>
      <color theme="1"/>
      <name val="Calibri"/>
      <family val="2"/>
      <scheme val="minor"/>
    </font>
    <font>
      <sz val="18"/>
      <color theme="3"/>
      <name val="Calibri"/>
      <family val="2"/>
      <scheme val="minor"/>
    </font>
    <font>
      <sz val="16"/>
      <color rgb="FFFFFF00"/>
      <name val="Calibri"/>
      <family val="2"/>
      <scheme val="minor"/>
    </font>
    <font>
      <sz val="16"/>
      <color theme="1"/>
      <name val="Calibri"/>
      <family val="2"/>
      <scheme val="minor"/>
    </font>
    <font>
      <b/>
      <sz val="16"/>
      <color theme="1"/>
      <name val="Calibri"/>
      <family val="2"/>
      <scheme val="minor"/>
    </font>
    <font>
      <b/>
      <sz val="14"/>
      <color rgb="FF000000"/>
      <name val="Calibri"/>
      <family val="2"/>
    </font>
    <font>
      <sz val="11"/>
      <color theme="1"/>
      <name val="Calibri"/>
      <family val="2"/>
      <scheme val="minor"/>
    </font>
    <font>
      <sz val="11"/>
      <color theme="0"/>
      <name val="Calibri"/>
      <family val="2"/>
      <scheme val="minor"/>
    </font>
    <font>
      <b/>
      <sz val="12"/>
      <color rgb="FFFF0000"/>
      <name val="Calibri"/>
      <family val="2"/>
      <scheme val="minor"/>
    </font>
    <font>
      <sz val="12"/>
      <color theme="1"/>
      <name val="Calibri"/>
      <family val="2"/>
      <scheme val="minor"/>
    </font>
    <font>
      <b/>
      <sz val="12"/>
      <name val="Calibri"/>
      <family val="2"/>
      <scheme val="minor"/>
    </font>
    <font>
      <b/>
      <sz val="22"/>
      <color rgb="FFFFFFFF"/>
      <name val="Calibri"/>
      <family val="2"/>
    </font>
    <font>
      <b/>
      <sz val="18"/>
      <color theme="1" tint="4.9989318521683403E-2"/>
      <name val="Calibri"/>
      <family val="2"/>
      <scheme val="minor"/>
    </font>
    <font>
      <sz val="20"/>
      <color theme="1" tint="0.14999847407452621"/>
      <name val="Calibri"/>
      <family val="2"/>
      <scheme val="minor"/>
    </font>
    <font>
      <b/>
      <sz val="14"/>
      <color theme="1" tint="4.9989318521683403E-2"/>
      <name val="Calibri"/>
      <family val="2"/>
      <scheme val="minor"/>
    </font>
    <font>
      <b/>
      <sz val="14"/>
      <color theme="1" tint="0.14999847407452621"/>
      <name val="Calibri"/>
      <family val="2"/>
      <scheme val="minor"/>
    </font>
    <font>
      <b/>
      <sz val="14"/>
      <color theme="1"/>
      <name val="Calibri"/>
      <family val="2"/>
      <scheme val="minor"/>
    </font>
    <font>
      <u/>
      <sz val="11"/>
      <color theme="10"/>
      <name val="Calibri"/>
      <family val="2"/>
      <scheme val="minor"/>
    </font>
    <font>
      <b/>
      <sz val="12"/>
      <color theme="1"/>
      <name val="Calibri"/>
      <family val="2"/>
      <scheme val="minor"/>
    </font>
    <font>
      <b/>
      <sz val="16"/>
      <color theme="0" tint="-4.9989318521683403E-2"/>
      <name val="Calibri"/>
      <family val="2"/>
      <scheme val="minor"/>
    </font>
    <font>
      <b/>
      <sz val="16"/>
      <color theme="0"/>
      <name val="Calibri"/>
      <family val="2"/>
      <scheme val="minor"/>
    </font>
    <font>
      <u/>
      <sz val="16"/>
      <color theme="2"/>
      <name val="Calibri"/>
      <family val="2"/>
      <scheme val="minor"/>
    </font>
  </fonts>
  <fills count="23">
    <fill>
      <patternFill patternType="none"/>
    </fill>
    <fill>
      <patternFill patternType="gray125"/>
    </fill>
    <fill>
      <patternFill patternType="solid">
        <fgColor theme="2"/>
        <bgColor indexed="64"/>
      </patternFill>
    </fill>
    <fill>
      <patternFill patternType="solid">
        <fgColor theme="6"/>
        <bgColor indexed="64"/>
      </patternFill>
    </fill>
    <fill>
      <patternFill patternType="solid">
        <fgColor theme="8"/>
        <bgColor indexed="64"/>
      </patternFill>
    </fill>
    <fill>
      <patternFill patternType="solid">
        <fgColor rgb="FFFFC000"/>
        <bgColor indexed="64"/>
      </patternFill>
    </fill>
    <fill>
      <patternFill patternType="solid">
        <fgColor theme="2" tint="-0.249977111117893"/>
        <bgColor indexed="64"/>
      </patternFill>
    </fill>
    <fill>
      <patternFill patternType="solid">
        <fgColor rgb="FFFF0000"/>
        <bgColor indexed="64"/>
      </patternFill>
    </fill>
    <fill>
      <patternFill patternType="solid">
        <fgColor theme="4"/>
      </patternFill>
    </fill>
    <fill>
      <patternFill patternType="solid">
        <fgColor theme="5"/>
      </patternFill>
    </fill>
    <fill>
      <patternFill patternType="solid">
        <fgColor rgb="FFFFFF00"/>
      </patternFill>
    </fill>
    <fill>
      <patternFill patternType="solid">
        <fgColor rgb="FFFFD7D7"/>
      </patternFill>
    </fill>
    <fill>
      <patternFill patternType="solid">
        <fgColor rgb="FFD3D3D3"/>
      </patternFill>
    </fill>
    <fill>
      <patternFill patternType="solid">
        <fgColor theme="1" tint="4.9989318521683403E-2"/>
        <bgColor rgb="FF1F1F1F"/>
      </patternFill>
    </fill>
    <fill>
      <patternFill patternType="solid">
        <fgColor rgb="FF92D050"/>
        <bgColor indexed="64"/>
      </patternFill>
    </fill>
    <fill>
      <patternFill patternType="solid">
        <fgColor theme="1" tint="0.34998626667073579"/>
        <bgColor indexed="64"/>
      </patternFill>
    </fill>
    <fill>
      <patternFill patternType="solid">
        <fgColor theme="4"/>
        <bgColor indexed="64"/>
      </patternFill>
    </fill>
    <fill>
      <patternFill patternType="solid">
        <fgColor theme="1" tint="0.249977111117893"/>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7030A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6">
    <xf numFmtId="0" fontId="0" fillId="0" borderId="0"/>
    <xf numFmtId="44" fontId="8" fillId="0" borderId="0" applyFont="0" applyFill="0" applyBorder="0" applyAlignment="0" applyProtection="0"/>
    <xf numFmtId="0" fontId="9" fillId="8" borderId="0" applyNumberFormat="0" applyBorder="0" applyAlignment="0" applyProtection="0"/>
    <xf numFmtId="0" fontId="9" fillId="9" borderId="0" applyNumberFormat="0" applyBorder="0" applyAlignment="0" applyProtection="0"/>
    <xf numFmtId="164" fontId="8" fillId="0" borderId="0" applyFont="0" applyFill="0" applyBorder="0" applyAlignment="0" applyProtection="0"/>
    <xf numFmtId="0" fontId="19" fillId="0" borderId="0" applyNumberFormat="0" applyFill="0" applyBorder="0" applyAlignment="0" applyProtection="0"/>
  </cellStyleXfs>
  <cellXfs count="108">
    <xf numFmtId="0" fontId="0" fillId="0" borderId="0" xfId="0"/>
    <xf numFmtId="0" fontId="0" fillId="0" borderId="1" xfId="0" applyBorder="1" applyAlignment="1">
      <alignment horizontal="center" vertical="center"/>
    </xf>
    <xf numFmtId="0" fontId="1" fillId="3" borderId="1" xfId="0" applyFont="1" applyFill="1" applyBorder="1" applyAlignment="1">
      <alignment horizontal="center"/>
    </xf>
    <xf numFmtId="0" fontId="1" fillId="4" borderId="1" xfId="0" applyFont="1" applyFill="1" applyBorder="1" applyAlignment="1">
      <alignment horizontal="center" vertical="center"/>
    </xf>
    <xf numFmtId="0" fontId="1" fillId="5" borderId="1" xfId="0" applyFont="1" applyFill="1" applyBorder="1" applyAlignment="1">
      <alignment horizontal="center"/>
    </xf>
    <xf numFmtId="0" fontId="1" fillId="6" borderId="1" xfId="0" applyFont="1" applyFill="1" applyBorder="1" applyAlignment="1">
      <alignment horizontal="center"/>
    </xf>
    <xf numFmtId="0" fontId="4" fillId="7" borderId="1" xfId="0" applyFont="1" applyFill="1" applyBorder="1" applyAlignment="1">
      <alignment horizontal="center" vertical="center"/>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11" fillId="0" borderId="0" xfId="0" applyFont="1"/>
    <xf numFmtId="0" fontId="12" fillId="10" borderId="0" xfId="0" applyFont="1" applyFill="1"/>
    <xf numFmtId="0" fontId="10" fillId="10" borderId="0" xfId="0" applyFont="1" applyFill="1"/>
    <xf numFmtId="0" fontId="11" fillId="11" borderId="0" xfId="0" applyFont="1" applyFill="1"/>
    <xf numFmtId="0" fontId="11" fillId="12" borderId="0" xfId="0" applyFont="1" applyFill="1"/>
    <xf numFmtId="0" fontId="0" fillId="0" borderId="0" xfId="0" applyAlignment="1">
      <alignment horizontal="center" vertical="center"/>
    </xf>
    <xf numFmtId="14" fontId="0" fillId="0" borderId="1" xfId="0" applyNumberFormat="1" applyBorder="1" applyAlignment="1">
      <alignment horizontal="center" vertical="center"/>
    </xf>
    <xf numFmtId="0" fontId="12" fillId="16" borderId="1" xfId="0" applyFont="1" applyFill="1" applyBorder="1" applyAlignment="1">
      <alignment horizontal="center" vertical="center"/>
    </xf>
    <xf numFmtId="0" fontId="3" fillId="2" borderId="1" xfId="0" applyFont="1" applyFill="1" applyBorder="1" applyAlignment="1">
      <alignment horizontal="center" vertical="center"/>
    </xf>
    <xf numFmtId="0" fontId="2" fillId="2" borderId="1" xfId="0" applyFont="1" applyFill="1" applyBorder="1" applyAlignment="1">
      <alignment horizontal="center" vertical="center"/>
    </xf>
    <xf numFmtId="44" fontId="13" fillId="13" borderId="2" xfId="1" applyFont="1" applyFill="1" applyBorder="1" applyAlignment="1">
      <alignment horizontal="center" vertical="center"/>
    </xf>
    <xf numFmtId="44" fontId="13" fillId="13" borderId="3" xfId="1" applyFont="1" applyFill="1" applyBorder="1" applyAlignment="1">
      <alignment horizontal="center" vertical="center"/>
    </xf>
    <xf numFmtId="44" fontId="13" fillId="13" borderId="4" xfId="1" applyFont="1" applyFill="1" applyBorder="1" applyAlignment="1">
      <alignment horizontal="center" vertical="center"/>
    </xf>
    <xf numFmtId="44" fontId="13" fillId="13" borderId="5" xfId="1" applyFont="1" applyFill="1" applyBorder="1" applyAlignment="1">
      <alignment horizontal="center" vertical="center"/>
    </xf>
    <xf numFmtId="44" fontId="13" fillId="13" borderId="0" xfId="1" applyFont="1" applyFill="1" applyBorder="1" applyAlignment="1">
      <alignment horizontal="center" vertical="center"/>
    </xf>
    <xf numFmtId="44" fontId="13" fillId="13" borderId="6" xfId="1" applyFont="1" applyFill="1" applyBorder="1" applyAlignment="1">
      <alignment horizontal="center" vertical="center"/>
    </xf>
    <xf numFmtId="44" fontId="13" fillId="13" borderId="7" xfId="1" applyFont="1" applyFill="1" applyBorder="1" applyAlignment="1">
      <alignment horizontal="center" vertical="center"/>
    </xf>
    <xf numFmtId="44" fontId="13" fillId="13" borderId="8" xfId="1" applyFont="1" applyFill="1" applyBorder="1" applyAlignment="1">
      <alignment horizontal="center" vertical="center"/>
    </xf>
    <xf numFmtId="44" fontId="13" fillId="13" borderId="9" xfId="1" applyFont="1" applyFill="1" applyBorder="1" applyAlignment="1">
      <alignment horizontal="center" vertical="center"/>
    </xf>
    <xf numFmtId="0" fontId="15" fillId="14" borderId="10" xfId="0" applyFont="1" applyFill="1" applyBorder="1" applyAlignment="1">
      <alignment horizontal="center" vertical="center"/>
    </xf>
    <xf numFmtId="0" fontId="15" fillId="14" borderId="0" xfId="0" applyFont="1" applyFill="1" applyAlignment="1">
      <alignment horizontal="center" vertical="center"/>
    </xf>
    <xf numFmtId="0" fontId="15" fillId="14" borderId="11" xfId="0" applyFont="1" applyFill="1" applyBorder="1" applyAlignment="1">
      <alignment horizontal="center" vertical="center"/>
    </xf>
    <xf numFmtId="0" fontId="15" fillId="14" borderId="12" xfId="0" applyFont="1" applyFill="1" applyBorder="1" applyAlignment="1">
      <alignment horizontal="center" vertical="center"/>
    </xf>
    <xf numFmtId="0" fontId="15" fillId="14" borderId="13" xfId="0" applyFont="1" applyFill="1" applyBorder="1" applyAlignment="1">
      <alignment horizontal="center" vertical="center"/>
    </xf>
    <xf numFmtId="0" fontId="15" fillId="14" borderId="14" xfId="0" applyFont="1" applyFill="1" applyBorder="1" applyAlignment="1">
      <alignment horizontal="center" vertical="center"/>
    </xf>
    <xf numFmtId="165" fontId="17" fillId="14" borderId="15" xfId="0" applyNumberFormat="1" applyFont="1" applyFill="1" applyBorder="1" applyAlignment="1">
      <alignment horizontal="center" vertical="center"/>
    </xf>
    <xf numFmtId="165" fontId="17" fillId="14" borderId="16" xfId="0" applyNumberFormat="1" applyFont="1" applyFill="1" applyBorder="1" applyAlignment="1">
      <alignment horizontal="center" vertical="center"/>
    </xf>
    <xf numFmtId="165" fontId="17" fillId="14" borderId="17" xfId="0" applyNumberFormat="1" applyFont="1" applyFill="1" applyBorder="1" applyAlignment="1">
      <alignment horizontal="center" vertical="center"/>
    </xf>
    <xf numFmtId="165" fontId="17" fillId="14" borderId="12" xfId="0" applyNumberFormat="1" applyFont="1" applyFill="1" applyBorder="1" applyAlignment="1">
      <alignment horizontal="center" vertical="center"/>
    </xf>
    <xf numFmtId="165" fontId="17" fillId="14" borderId="13" xfId="0" applyNumberFormat="1" applyFont="1" applyFill="1" applyBorder="1" applyAlignment="1">
      <alignment horizontal="center" vertical="center"/>
    </xf>
    <xf numFmtId="165" fontId="17" fillId="14" borderId="14" xfId="0" applyNumberFormat="1" applyFont="1" applyFill="1" applyBorder="1" applyAlignment="1">
      <alignment horizontal="center" vertical="center"/>
    </xf>
    <xf numFmtId="0" fontId="1" fillId="3"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5" borderId="1" xfId="0" applyFont="1" applyFill="1" applyBorder="1" applyAlignment="1">
      <alignment horizontal="center" vertical="center"/>
    </xf>
    <xf numFmtId="0" fontId="1" fillId="6" borderId="1" xfId="0" applyFont="1" applyFill="1" applyBorder="1" applyAlignment="1">
      <alignment horizontal="center" vertical="center"/>
    </xf>
    <xf numFmtId="0" fontId="20" fillId="18" borderId="0" xfId="0" applyFont="1" applyFill="1" applyAlignment="1">
      <alignment horizontal="center" vertical="center"/>
    </xf>
    <xf numFmtId="0" fontId="11" fillId="18" borderId="0" xfId="0" applyFont="1" applyFill="1"/>
    <xf numFmtId="0" fontId="21" fillId="15" borderId="18" xfId="0" applyFont="1" applyFill="1" applyBorder="1" applyAlignment="1">
      <alignment horizontal="center" vertical="center"/>
    </xf>
    <xf numFmtId="0" fontId="21" fillId="15" borderId="19" xfId="0" applyFont="1" applyFill="1" applyBorder="1" applyAlignment="1">
      <alignment horizontal="center" vertical="center"/>
    </xf>
    <xf numFmtId="0" fontId="21" fillId="15" borderId="20" xfId="0" applyFont="1" applyFill="1" applyBorder="1" applyAlignment="1">
      <alignment horizontal="center" vertical="center"/>
    </xf>
    <xf numFmtId="0" fontId="22" fillId="15" borderId="18" xfId="0" applyFont="1" applyFill="1" applyBorder="1" applyAlignment="1">
      <alignment horizontal="center" vertical="center"/>
    </xf>
    <xf numFmtId="0" fontId="22" fillId="15" borderId="19" xfId="0" applyFont="1" applyFill="1" applyBorder="1" applyAlignment="1">
      <alignment horizontal="center" vertical="center"/>
    </xf>
    <xf numFmtId="0" fontId="22" fillId="15" borderId="20" xfId="0" applyFont="1" applyFill="1" applyBorder="1" applyAlignment="1">
      <alignment horizontal="center" vertical="center"/>
    </xf>
    <xf numFmtId="0" fontId="14" fillId="19" borderId="10" xfId="2" applyFont="1" applyFill="1" applyBorder="1" applyAlignment="1">
      <alignment horizontal="center" vertical="center"/>
    </xf>
    <xf numFmtId="0" fontId="14" fillId="19" borderId="0" xfId="2" applyFont="1" applyFill="1" applyBorder="1" applyAlignment="1">
      <alignment horizontal="center" vertical="center"/>
    </xf>
    <xf numFmtId="0" fontId="14" fillId="19" borderId="11" xfId="2" applyFont="1" applyFill="1" applyBorder="1" applyAlignment="1">
      <alignment horizontal="center" vertical="center"/>
    </xf>
    <xf numFmtId="0" fontId="14" fillId="19" borderId="12" xfId="2" applyFont="1" applyFill="1" applyBorder="1" applyAlignment="1">
      <alignment horizontal="center" vertical="center"/>
    </xf>
    <xf numFmtId="0" fontId="14" fillId="19" borderId="13" xfId="2" applyFont="1" applyFill="1" applyBorder="1" applyAlignment="1">
      <alignment horizontal="center" vertical="center"/>
    </xf>
    <xf numFmtId="0" fontId="14" fillId="19" borderId="14" xfId="2" applyFont="1" applyFill="1" applyBorder="1" applyAlignment="1">
      <alignment horizontal="center" vertical="center"/>
    </xf>
    <xf numFmtId="165" fontId="16" fillId="19" borderId="15" xfId="2" applyNumberFormat="1" applyFont="1" applyFill="1" applyBorder="1" applyAlignment="1">
      <alignment horizontal="center" vertical="center"/>
    </xf>
    <xf numFmtId="165" fontId="16" fillId="19" borderId="16" xfId="2" applyNumberFormat="1" applyFont="1" applyFill="1" applyBorder="1" applyAlignment="1">
      <alignment horizontal="center" vertical="center"/>
    </xf>
    <xf numFmtId="165" fontId="16" fillId="19" borderId="17" xfId="2" applyNumberFormat="1" applyFont="1" applyFill="1" applyBorder="1" applyAlignment="1">
      <alignment horizontal="center" vertical="center"/>
    </xf>
    <xf numFmtId="165" fontId="16" fillId="19" borderId="12" xfId="2" applyNumberFormat="1" applyFont="1" applyFill="1" applyBorder="1" applyAlignment="1">
      <alignment horizontal="center" vertical="center"/>
    </xf>
    <xf numFmtId="165" fontId="16" fillId="19" borderId="13" xfId="2" applyNumberFormat="1" applyFont="1" applyFill="1" applyBorder="1" applyAlignment="1">
      <alignment horizontal="center" vertical="center"/>
    </xf>
    <xf numFmtId="165" fontId="16" fillId="19" borderId="14" xfId="2" applyNumberFormat="1" applyFont="1" applyFill="1" applyBorder="1" applyAlignment="1">
      <alignment horizontal="center" vertical="center"/>
    </xf>
    <xf numFmtId="0" fontId="14" fillId="20" borderId="10" xfId="3" applyFont="1" applyFill="1" applyBorder="1" applyAlignment="1">
      <alignment horizontal="center" vertical="center"/>
    </xf>
    <xf numFmtId="0" fontId="14" fillId="20" borderId="0" xfId="3" applyFont="1" applyFill="1" applyBorder="1" applyAlignment="1">
      <alignment horizontal="center" vertical="center"/>
    </xf>
    <xf numFmtId="0" fontId="14" fillId="20" borderId="11" xfId="3" applyFont="1" applyFill="1" applyBorder="1" applyAlignment="1">
      <alignment horizontal="center" vertical="center"/>
    </xf>
    <xf numFmtId="0" fontId="14" fillId="20" borderId="12" xfId="3" applyFont="1" applyFill="1" applyBorder="1" applyAlignment="1">
      <alignment horizontal="center" vertical="center"/>
    </xf>
    <xf numFmtId="0" fontId="14" fillId="20" borderId="13" xfId="3" applyFont="1" applyFill="1" applyBorder="1" applyAlignment="1">
      <alignment horizontal="center" vertical="center"/>
    </xf>
    <xf numFmtId="0" fontId="14" fillId="20" borderId="14" xfId="3" applyFont="1" applyFill="1" applyBorder="1" applyAlignment="1">
      <alignment horizontal="center" vertical="center"/>
    </xf>
    <xf numFmtId="165" fontId="16" fillId="20" borderId="15" xfId="3" applyNumberFormat="1" applyFont="1" applyFill="1" applyBorder="1" applyAlignment="1">
      <alignment horizontal="center" vertical="center"/>
    </xf>
    <xf numFmtId="165" fontId="16" fillId="20" borderId="16" xfId="3" applyNumberFormat="1" applyFont="1" applyFill="1" applyBorder="1" applyAlignment="1">
      <alignment horizontal="center" vertical="center"/>
    </xf>
    <xf numFmtId="165" fontId="16" fillId="20" borderId="17" xfId="3" applyNumberFormat="1" applyFont="1" applyFill="1" applyBorder="1" applyAlignment="1">
      <alignment horizontal="center" vertical="center"/>
    </xf>
    <xf numFmtId="165" fontId="16" fillId="20" borderId="12" xfId="3" applyNumberFormat="1" applyFont="1" applyFill="1" applyBorder="1" applyAlignment="1">
      <alignment horizontal="center" vertical="center"/>
    </xf>
    <xf numFmtId="165" fontId="16" fillId="20" borderId="13" xfId="3" applyNumberFormat="1" applyFont="1" applyFill="1" applyBorder="1" applyAlignment="1">
      <alignment horizontal="center" vertical="center"/>
    </xf>
    <xf numFmtId="165" fontId="16" fillId="20" borderId="14" xfId="3" applyNumberFormat="1" applyFont="1" applyFill="1" applyBorder="1" applyAlignment="1">
      <alignment horizontal="center" vertical="center"/>
    </xf>
    <xf numFmtId="0" fontId="15" fillId="21" borderId="10" xfId="0" applyFont="1" applyFill="1" applyBorder="1" applyAlignment="1">
      <alignment horizontal="center" vertical="center"/>
    </xf>
    <xf numFmtId="0" fontId="15" fillId="21" borderId="0" xfId="0" applyFont="1" applyFill="1" applyAlignment="1">
      <alignment horizontal="center" vertical="center"/>
    </xf>
    <xf numFmtId="0" fontId="15" fillId="21" borderId="11" xfId="0" applyFont="1" applyFill="1" applyBorder="1" applyAlignment="1">
      <alignment horizontal="center" vertical="center"/>
    </xf>
    <xf numFmtId="0" fontId="15" fillId="21" borderId="12" xfId="0" applyFont="1" applyFill="1" applyBorder="1" applyAlignment="1">
      <alignment horizontal="center" vertical="center"/>
    </xf>
    <xf numFmtId="0" fontId="15" fillId="21" borderId="13" xfId="0" applyFont="1" applyFill="1" applyBorder="1" applyAlignment="1">
      <alignment horizontal="center" vertical="center"/>
    </xf>
    <xf numFmtId="0" fontId="15" fillId="21" borderId="14" xfId="0" applyFont="1" applyFill="1" applyBorder="1" applyAlignment="1">
      <alignment horizontal="center" vertical="center"/>
    </xf>
    <xf numFmtId="10" fontId="18" fillId="21" borderId="15" xfId="0" applyNumberFormat="1" applyFont="1" applyFill="1" applyBorder="1" applyAlignment="1">
      <alignment horizontal="center" vertical="center"/>
    </xf>
    <xf numFmtId="10" fontId="18" fillId="21" borderId="16" xfId="0" applyNumberFormat="1" applyFont="1" applyFill="1" applyBorder="1" applyAlignment="1">
      <alignment horizontal="center" vertical="center"/>
    </xf>
    <xf numFmtId="10" fontId="18" fillId="21" borderId="17" xfId="0" applyNumberFormat="1" applyFont="1" applyFill="1" applyBorder="1" applyAlignment="1">
      <alignment horizontal="center" vertical="center"/>
    </xf>
    <xf numFmtId="10" fontId="18" fillId="21" borderId="12" xfId="0" applyNumberFormat="1" applyFont="1" applyFill="1" applyBorder="1" applyAlignment="1">
      <alignment horizontal="center" vertical="center"/>
    </xf>
    <xf numFmtId="10" fontId="18" fillId="21" borderId="13" xfId="0" applyNumberFormat="1" applyFont="1" applyFill="1" applyBorder="1" applyAlignment="1">
      <alignment horizontal="center" vertical="center"/>
    </xf>
    <xf numFmtId="10" fontId="18" fillId="21" borderId="14" xfId="0" applyNumberFormat="1" applyFont="1" applyFill="1" applyBorder="1" applyAlignment="1">
      <alignment horizontal="center" vertical="center"/>
    </xf>
    <xf numFmtId="0" fontId="11" fillId="17" borderId="14" xfId="0" applyFont="1" applyFill="1" applyBorder="1" applyAlignment="1">
      <alignment horizontal="center" vertical="center"/>
    </xf>
    <xf numFmtId="0" fontId="11" fillId="17" borderId="21" xfId="0" applyFont="1" applyFill="1" applyBorder="1" applyAlignment="1">
      <alignment horizontal="center" vertical="center"/>
    </xf>
    <xf numFmtId="164" fontId="11" fillId="17" borderId="21" xfId="4" applyFont="1" applyFill="1" applyBorder="1" applyAlignment="1">
      <alignment horizontal="center" vertical="center"/>
    </xf>
    <xf numFmtId="0" fontId="11" fillId="17" borderId="12" xfId="0" applyFont="1" applyFill="1" applyBorder="1" applyAlignment="1">
      <alignment horizontal="center" vertical="center"/>
    </xf>
    <xf numFmtId="0" fontId="11" fillId="0" borderId="20" xfId="0" applyFont="1" applyBorder="1" applyAlignment="1">
      <alignment horizontal="center" vertical="center"/>
    </xf>
    <xf numFmtId="0" fontId="11" fillId="0" borderId="1" xfId="0" applyFont="1" applyBorder="1" applyAlignment="1">
      <alignment horizontal="center" vertical="center"/>
    </xf>
    <xf numFmtId="164" fontId="11" fillId="0" borderId="1" xfId="4" applyFont="1" applyBorder="1" applyAlignment="1">
      <alignment horizontal="center" vertical="center"/>
    </xf>
    <xf numFmtId="0" fontId="11" fillId="0" borderId="18" xfId="0" applyFont="1" applyBorder="1" applyAlignment="1">
      <alignment horizontal="center" vertical="center"/>
    </xf>
    <xf numFmtId="0" fontId="11" fillId="0" borderId="17" xfId="0" applyFont="1" applyBorder="1" applyAlignment="1">
      <alignment horizontal="center" vertical="center"/>
    </xf>
    <xf numFmtId="0" fontId="11" fillId="0" borderId="22" xfId="0" applyFont="1" applyBorder="1" applyAlignment="1">
      <alignment horizontal="center" vertical="center"/>
    </xf>
    <xf numFmtId="164" fontId="11" fillId="0" borderId="22" xfId="4" applyFont="1" applyBorder="1" applyAlignment="1">
      <alignment horizontal="center" vertical="center"/>
    </xf>
    <xf numFmtId="0" fontId="11" fillId="0" borderId="15" xfId="0" applyFont="1" applyBorder="1" applyAlignment="1">
      <alignment horizontal="center" vertical="center"/>
    </xf>
    <xf numFmtId="0" fontId="11" fillId="16" borderId="1" xfId="0" applyFont="1" applyFill="1" applyBorder="1" applyAlignment="1">
      <alignment vertical="center"/>
    </xf>
    <xf numFmtId="0" fontId="20" fillId="16" borderId="1" xfId="0" applyFont="1" applyFill="1" applyBorder="1" applyAlignment="1">
      <alignment vertical="center"/>
    </xf>
    <xf numFmtId="164" fontId="11" fillId="16" borderId="1" xfId="4" applyFont="1" applyFill="1" applyBorder="1" applyAlignment="1">
      <alignment vertical="center"/>
    </xf>
    <xf numFmtId="164" fontId="20" fillId="16" borderId="1" xfId="4" applyFont="1" applyFill="1" applyBorder="1" applyAlignment="1">
      <alignment vertical="center"/>
    </xf>
    <xf numFmtId="0" fontId="23" fillId="22" borderId="1" xfId="5" applyFont="1" applyFill="1" applyBorder="1"/>
    <xf numFmtId="0" fontId="5" fillId="22" borderId="1" xfId="0" applyFont="1" applyFill="1" applyBorder="1"/>
    <xf numFmtId="0" fontId="23" fillId="22" borderId="1" xfId="5" applyFont="1" applyFill="1" applyBorder="1" applyAlignment="1">
      <alignment horizontal="center" vertical="top"/>
    </xf>
    <xf numFmtId="0" fontId="20" fillId="19" borderId="1" xfId="0" applyFont="1" applyFill="1" applyBorder="1" applyAlignment="1">
      <alignment horizontal="center" vertical="center"/>
    </xf>
  </cellXfs>
  <cellStyles count="6">
    <cellStyle name="Accent1" xfId="2" builtinId="29"/>
    <cellStyle name="Accent2" xfId="3" builtinId="33"/>
    <cellStyle name="Comma" xfId="4" builtinId="3"/>
    <cellStyle name="Currency" xfId="1" builtinId="4"/>
    <cellStyle name="Hyperlink" xfId="5" builtinId="8"/>
    <cellStyle name="Normal" xfId="0" builtinId="0"/>
  </cellStyles>
  <dxfs count="381">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5700"/>
      </font>
      <fill>
        <patternFill>
          <fgColor indexed="64"/>
          <bgColor rgb="FFFFEB9C"/>
        </patternFill>
      </fill>
    </dxf>
    <dxf>
      <font>
        <color rgb="FF9C0006"/>
      </font>
      <fill>
        <patternFill>
          <fgColor indexed="64"/>
          <bgColor rgb="FFFFC7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006100"/>
      </font>
      <fill>
        <patternFill>
          <bgColor rgb="FFC6EFCE"/>
        </patternFill>
      </fill>
    </dxf>
    <dxf>
      <font>
        <color rgb="FF9C5700"/>
      </font>
      <fill>
        <patternFill>
          <bgColor rgb="FFFFEB9C"/>
        </patternFill>
      </fill>
    </dxf>
    <dxf>
      <font>
        <color rgb="FF9C5700"/>
      </font>
      <fill>
        <patternFill>
          <fgColor indexed="64"/>
          <bgColor rgb="FFFFEB9C"/>
        </patternFill>
      </fill>
    </dxf>
    <dxf>
      <font>
        <color rgb="FF006100"/>
      </font>
      <fill>
        <patternFill>
          <fgColor indexed="64"/>
          <bgColor rgb="FFC6EFCE"/>
        </patternFill>
      </fill>
    </dxf>
    <dxf>
      <font>
        <color rgb="FF9C5700"/>
      </font>
      <fill>
        <patternFill>
          <fgColor indexed="64"/>
          <bgColor rgb="FFFFEB9C"/>
        </patternFill>
      </fill>
    </dxf>
    <dxf>
      <font>
        <color rgb="FF9C0006"/>
      </font>
      <fill>
        <patternFill>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bgColor rgb="FFFFC7CE"/>
        </patternFill>
      </fill>
    </dxf>
    <dxf>
      <font>
        <b/>
        <i val="0"/>
        <strike val="0"/>
        <color rgb="FFA8A400"/>
      </font>
      <numFmt numFmtId="30" formatCode="@"/>
      <fill>
        <patternFill>
          <bgColor rgb="FFFFFFB9"/>
        </patternFill>
      </fill>
    </dxf>
    <dxf>
      <font>
        <color rgb="FF006100"/>
      </font>
      <fill>
        <patternFill>
          <bgColor rgb="FFC6EFCE"/>
        </patternFill>
      </fill>
    </dxf>
    <dxf>
      <font>
        <b/>
        <i val="0"/>
        <color rgb="FFAC0000"/>
      </font>
      <fill>
        <patternFill>
          <bgColor rgb="FFFFCDCD"/>
        </patternFill>
      </fill>
    </dxf>
    <dxf>
      <font>
        <b/>
        <i val="0"/>
        <color rgb="FF008600"/>
      </font>
      <fill>
        <patternFill>
          <bgColor rgb="FFB7FFB7"/>
        </patternFill>
      </fill>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1"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ont>
        <sz val="14"/>
      </font>
    </dxf>
    <dxf>
      <font>
        <sz val="14"/>
      </font>
    </dxf>
    <dxf>
      <font>
        <sz val="14"/>
      </font>
    </dxf>
    <dxf>
      <font>
        <sz val="14"/>
      </font>
    </dxf>
    <dxf>
      <font>
        <sz val="14"/>
      </font>
    </dxf>
    <dxf>
      <font>
        <sz val="14"/>
      </font>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14"/>
      </font>
    </dxf>
    <dxf>
      <font>
        <sz val="14"/>
      </font>
    </dxf>
    <dxf>
      <font>
        <sz val="14"/>
      </font>
    </dxf>
    <dxf>
      <font>
        <sz val="14"/>
      </font>
    </dxf>
    <dxf>
      <font>
        <sz val="14"/>
      </font>
    </dxf>
    <dxf>
      <font>
        <sz val="14"/>
      </fon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8"/>
        </patternFill>
      </fill>
    </dxf>
    <dxf>
      <fill>
        <patternFill patternType="solid">
          <bgColor theme="8"/>
        </patternFill>
      </fill>
    </dxf>
    <dxf>
      <fill>
        <patternFill patternType="solid">
          <bgColor theme="8"/>
        </patternFill>
      </fill>
    </dxf>
    <dxf>
      <fill>
        <patternFill patternType="solid">
          <bgColor theme="8"/>
        </patternFill>
      </fill>
    </dxf>
    <dxf>
      <fill>
        <patternFill patternType="solid">
          <bgColor theme="8"/>
        </patternFill>
      </fill>
    </dxf>
    <dxf>
      <fill>
        <patternFill patternType="solid">
          <bgColor theme="8"/>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4"/>
      </font>
    </dxf>
    <dxf>
      <font>
        <sz val="14"/>
      </font>
    </dxf>
    <dxf>
      <font>
        <sz val="14"/>
      </font>
    </dxf>
    <dxf>
      <font>
        <sz val="14"/>
      </font>
    </dxf>
    <dxf>
      <font>
        <sz val="14"/>
      </font>
    </dxf>
    <dxf>
      <font>
        <sz val="14"/>
      </font>
    </dxf>
    <dxf>
      <alignment horizontal="center"/>
    </dxf>
    <dxf>
      <alignment horizontal="center"/>
    </dxf>
    <dxf>
      <alignment horizontal="center"/>
    </dxf>
    <dxf>
      <alignment horizontal="center"/>
    </dxf>
    <dxf>
      <alignment horizontal="center"/>
    </dxf>
    <dxf>
      <alignment horizontal="center"/>
    </dxf>
    <dxf>
      <font>
        <sz val="14"/>
      </font>
    </dxf>
    <dxf>
      <font>
        <sz val="14"/>
      </font>
    </dxf>
    <dxf>
      <font>
        <sz val="14"/>
      </font>
    </dxf>
    <dxf>
      <font>
        <sz val="14"/>
      </font>
    </dxf>
    <dxf>
      <font>
        <sz val="14"/>
      </font>
    </dxf>
    <dxf>
      <font>
        <sz val="14"/>
      </font>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9" defaultPivotStyle="PivotStyleLight16"/>
  <colors>
    <mruColors>
      <color rgb="FF008600"/>
      <color rgb="FFB7FFB7"/>
      <color rgb="FFFFCDCD"/>
      <color rgb="FFFFABAB"/>
      <color rgb="FFAC0000"/>
      <color rgb="FFA8A400"/>
      <color rgb="FFEBE600"/>
      <color rgb="FF797600"/>
      <color rgb="FFFEC200"/>
      <color rgb="FFFFFF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[Surojit_Sarthak Mukherjee_Excel Project_02.xlsm]Pivot Tables!PivotTable1</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c:f>
              <c:strCache>
                <c:ptCount val="1"/>
                <c:pt idx="0">
                  <c:v>Sum of Investment</c:v>
                </c:pt>
              </c:strCache>
            </c:strRef>
          </c:tx>
          <c:spPr>
            <a:solidFill>
              <a:schemeClr val="accent1"/>
            </a:solidFill>
            <a:ln>
              <a:noFill/>
            </a:ln>
            <a:effectLst/>
          </c:spPr>
          <c:invertIfNegative val="0"/>
          <c:cat>
            <c:strRef>
              <c:f>'Pivot Tables'!$A$4:$A$12</c:f>
              <c:strCache>
                <c:ptCount val="8"/>
                <c:pt idx="0">
                  <c:v>HDFC Bank</c:v>
                </c:pt>
                <c:pt idx="1">
                  <c:v>ICICI Bank</c:v>
                </c:pt>
                <c:pt idx="2">
                  <c:v>Infosys</c:v>
                </c:pt>
                <c:pt idx="3">
                  <c:v>ITC</c:v>
                </c:pt>
                <c:pt idx="4">
                  <c:v>Reliance</c:v>
                </c:pt>
                <c:pt idx="5">
                  <c:v>Sun Pharma</c:v>
                </c:pt>
                <c:pt idx="6">
                  <c:v>TCS</c:v>
                </c:pt>
                <c:pt idx="7">
                  <c:v>Wipro</c:v>
                </c:pt>
              </c:strCache>
            </c:strRef>
          </c:cat>
          <c:val>
            <c:numRef>
              <c:f>'Pivot Tables'!$B$4:$B$12</c:f>
              <c:numCache>
                <c:formatCode>General</c:formatCode>
                <c:ptCount val="8"/>
                <c:pt idx="0">
                  <c:v>38750</c:v>
                </c:pt>
                <c:pt idx="1">
                  <c:v>44000</c:v>
                </c:pt>
                <c:pt idx="2">
                  <c:v>43500</c:v>
                </c:pt>
                <c:pt idx="3">
                  <c:v>45000</c:v>
                </c:pt>
                <c:pt idx="4">
                  <c:v>125000</c:v>
                </c:pt>
                <c:pt idx="5">
                  <c:v>40600</c:v>
                </c:pt>
                <c:pt idx="6">
                  <c:v>57000</c:v>
                </c:pt>
                <c:pt idx="7">
                  <c:v>41600</c:v>
                </c:pt>
              </c:numCache>
            </c:numRef>
          </c:val>
          <c:extLst>
            <c:ext xmlns:c16="http://schemas.microsoft.com/office/drawing/2014/chart" uri="{C3380CC4-5D6E-409C-BE32-E72D297353CC}">
              <c16:uniqueId val="{00000000-9A4B-42B1-9A99-1851A574593F}"/>
            </c:ext>
          </c:extLst>
        </c:ser>
        <c:dLbls>
          <c:showLegendKey val="0"/>
          <c:showVal val="0"/>
          <c:showCatName val="0"/>
          <c:showSerName val="0"/>
          <c:showPercent val="0"/>
          <c:showBubbleSize val="0"/>
        </c:dLbls>
        <c:gapWidth val="182"/>
        <c:axId val="989855839"/>
        <c:axId val="989853919"/>
      </c:barChart>
      <c:lineChart>
        <c:grouping val="standard"/>
        <c:varyColors val="0"/>
        <c:ser>
          <c:idx val="1"/>
          <c:order val="1"/>
          <c:tx>
            <c:strRef>
              <c:f>'Pivot Tables'!$C$3</c:f>
              <c:strCache>
                <c:ptCount val="1"/>
                <c:pt idx="0">
                  <c:v>Sum of Current Value</c:v>
                </c:pt>
              </c:strCache>
            </c:strRef>
          </c:tx>
          <c:spPr>
            <a:ln w="28575" cap="rnd">
              <a:solidFill>
                <a:schemeClr val="accent3"/>
              </a:solidFill>
              <a:round/>
            </a:ln>
            <a:effectLst/>
          </c:spPr>
          <c:marker>
            <c:symbol val="none"/>
          </c:marker>
          <c:cat>
            <c:strRef>
              <c:f>'Pivot Tables'!$A$4:$A$12</c:f>
              <c:strCache>
                <c:ptCount val="8"/>
                <c:pt idx="0">
                  <c:v>HDFC Bank</c:v>
                </c:pt>
                <c:pt idx="1">
                  <c:v>ICICI Bank</c:v>
                </c:pt>
                <c:pt idx="2">
                  <c:v>Infosys</c:v>
                </c:pt>
                <c:pt idx="3">
                  <c:v>ITC</c:v>
                </c:pt>
                <c:pt idx="4">
                  <c:v>Reliance</c:v>
                </c:pt>
                <c:pt idx="5">
                  <c:v>Sun Pharma</c:v>
                </c:pt>
                <c:pt idx="6">
                  <c:v>TCS</c:v>
                </c:pt>
                <c:pt idx="7">
                  <c:v>Wipro</c:v>
                </c:pt>
              </c:strCache>
            </c:strRef>
          </c:cat>
          <c:val>
            <c:numRef>
              <c:f>'Pivot Tables'!$C$4:$C$12</c:f>
              <c:numCache>
                <c:formatCode>General</c:formatCode>
                <c:ptCount val="8"/>
                <c:pt idx="0">
                  <c:v>42750</c:v>
                </c:pt>
                <c:pt idx="1">
                  <c:v>50000</c:v>
                </c:pt>
                <c:pt idx="2">
                  <c:v>48000</c:v>
                </c:pt>
                <c:pt idx="3">
                  <c:v>51000</c:v>
                </c:pt>
                <c:pt idx="4">
                  <c:v>136000</c:v>
                </c:pt>
                <c:pt idx="5">
                  <c:v>45360</c:v>
                </c:pt>
                <c:pt idx="6">
                  <c:v>54750</c:v>
                </c:pt>
                <c:pt idx="7">
                  <c:v>47200</c:v>
                </c:pt>
              </c:numCache>
            </c:numRef>
          </c:val>
          <c:smooth val="0"/>
          <c:extLst>
            <c:ext xmlns:c16="http://schemas.microsoft.com/office/drawing/2014/chart" uri="{C3380CC4-5D6E-409C-BE32-E72D297353CC}">
              <c16:uniqueId val="{00000001-9A4B-42B1-9A99-1851A574593F}"/>
            </c:ext>
          </c:extLst>
        </c:ser>
        <c:dLbls>
          <c:showLegendKey val="0"/>
          <c:showVal val="0"/>
          <c:showCatName val="0"/>
          <c:showSerName val="0"/>
          <c:showPercent val="0"/>
          <c:showBubbleSize val="0"/>
        </c:dLbls>
        <c:marker val="1"/>
        <c:smooth val="0"/>
        <c:axId val="989855839"/>
        <c:axId val="989853919"/>
      </c:lineChart>
      <c:catAx>
        <c:axId val="989855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53919"/>
        <c:crosses val="autoZero"/>
        <c:auto val="1"/>
        <c:lblAlgn val="ctr"/>
        <c:lblOffset val="100"/>
        <c:noMultiLvlLbl val="0"/>
      </c:catAx>
      <c:valAx>
        <c:axId val="989853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55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[Surojit_Sarthak Mukherjee_Excel Project_02.xlsm]Pivot Tables!PivotTable2</c:name>
    <c:fmtId val="8"/>
  </c:pivotSource>
  <c:chart>
    <c:title>
      <c:layout>
        <c:manualLayout>
          <c:xMode val="edge"/>
          <c:yMode val="edge"/>
          <c:x val="0.41895122484689407"/>
          <c:y val="3.601633129192184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729483814523184"/>
          <c:y val="0.24028324584426947"/>
          <c:w val="0.36591010498687665"/>
          <c:h val="0.60985017497812777"/>
        </c:manualLayout>
      </c:layout>
      <c:radarChart>
        <c:radarStyle val="marker"/>
        <c:varyColors val="0"/>
        <c:ser>
          <c:idx val="0"/>
          <c:order val="0"/>
          <c:tx>
            <c:strRef>
              <c:f>'Pivot Tables'!$F$3</c:f>
              <c:strCache>
                <c:ptCount val="1"/>
                <c:pt idx="0">
                  <c:v>Total</c:v>
                </c:pt>
              </c:strCache>
            </c:strRef>
          </c:tx>
          <c:spPr>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cat>
            <c:strRef>
              <c:f>'Pivot Tables'!$E$4:$E$12</c:f>
              <c:strCache>
                <c:ptCount val="8"/>
                <c:pt idx="0">
                  <c:v>HDFC Bank</c:v>
                </c:pt>
                <c:pt idx="1">
                  <c:v>ICICI Bank</c:v>
                </c:pt>
                <c:pt idx="2">
                  <c:v>Infosys</c:v>
                </c:pt>
                <c:pt idx="3">
                  <c:v>ITC</c:v>
                </c:pt>
                <c:pt idx="4">
                  <c:v>Reliance</c:v>
                </c:pt>
                <c:pt idx="5">
                  <c:v>Sun Pharma</c:v>
                </c:pt>
                <c:pt idx="6">
                  <c:v>TCS</c:v>
                </c:pt>
                <c:pt idx="7">
                  <c:v>Wipro</c:v>
                </c:pt>
              </c:strCache>
            </c:strRef>
          </c:cat>
          <c:val>
            <c:numRef>
              <c:f>'Pivot Tables'!$F$4:$F$12</c:f>
              <c:numCache>
                <c:formatCode>General</c:formatCode>
                <c:ptCount val="8"/>
                <c:pt idx="0">
                  <c:v>4000</c:v>
                </c:pt>
                <c:pt idx="1">
                  <c:v>6000</c:v>
                </c:pt>
                <c:pt idx="2">
                  <c:v>4500</c:v>
                </c:pt>
                <c:pt idx="3">
                  <c:v>6000</c:v>
                </c:pt>
                <c:pt idx="4">
                  <c:v>11000</c:v>
                </c:pt>
                <c:pt idx="5">
                  <c:v>4760</c:v>
                </c:pt>
                <c:pt idx="6">
                  <c:v>-2250</c:v>
                </c:pt>
                <c:pt idx="7">
                  <c:v>5600</c:v>
                </c:pt>
              </c:numCache>
            </c:numRef>
          </c:val>
          <c:extLst>
            <c:ext xmlns:c16="http://schemas.microsoft.com/office/drawing/2014/chart" uri="{C3380CC4-5D6E-409C-BE32-E72D297353CC}">
              <c16:uniqueId val="{00000000-29DC-44DF-920B-318D451E82D1}"/>
            </c:ext>
          </c:extLst>
        </c:ser>
        <c:dLbls>
          <c:showLegendKey val="0"/>
          <c:showVal val="0"/>
          <c:showCatName val="0"/>
          <c:showSerName val="0"/>
          <c:showPercent val="0"/>
          <c:showBubbleSize val="0"/>
        </c:dLbls>
        <c:axId val="989878399"/>
        <c:axId val="989895199"/>
      </c:radarChart>
      <c:catAx>
        <c:axId val="98987839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89895199"/>
        <c:crosses val="autoZero"/>
        <c:auto val="1"/>
        <c:lblAlgn val="ctr"/>
        <c:lblOffset val="100"/>
        <c:noMultiLvlLbl val="0"/>
      </c:catAx>
      <c:valAx>
        <c:axId val="989895199"/>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89878399"/>
        <c:crosses val="autoZero"/>
        <c:crossBetween val="between"/>
      </c:valAx>
      <c:spPr>
        <a:noFill/>
        <a:ln>
          <a:noFill/>
        </a:ln>
        <a:effectLst/>
      </c:spPr>
    </c:plotArea>
    <c:legend>
      <c:legendPos val="r"/>
      <c:layout>
        <c:manualLayout>
          <c:xMode val="edge"/>
          <c:yMode val="edge"/>
          <c:x val="0.82494400699912518"/>
          <c:y val="0.45579833770778644"/>
          <c:w val="0.15838932633420821"/>
          <c:h val="0.229745917177019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[Surojit_Sarthak Mukherjee_Excel Project_02.xlsm]Pivot Tables!PivotTable3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'Pivot Tables'!$I$3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BD-43FB-AA92-FDE6EBEC59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BD-43FB-AA92-FDE6EBEC591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BD-43FB-AA92-FDE6EBEC591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BD-43FB-AA92-FDE6EBEC59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BD-43FB-AA92-FDE6EBEC59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BD-43FB-AA92-FDE6EBEC59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2BD-43FB-AA92-FDE6EBEC59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2BD-43FB-AA92-FDE6EBEC591A}"/>
              </c:ext>
            </c:extLst>
          </c:dPt>
          <c:cat>
            <c:strRef>
              <c:f>'Pivot Tables'!$H$4:$H$12</c:f>
              <c:strCache>
                <c:ptCount val="8"/>
                <c:pt idx="0">
                  <c:v>HDFC Bank</c:v>
                </c:pt>
                <c:pt idx="1">
                  <c:v>ICICI Bank</c:v>
                </c:pt>
                <c:pt idx="2">
                  <c:v>Infosys</c:v>
                </c:pt>
                <c:pt idx="3">
                  <c:v>ITC</c:v>
                </c:pt>
                <c:pt idx="4">
                  <c:v>Reliance</c:v>
                </c:pt>
                <c:pt idx="5">
                  <c:v>Sun Pharma</c:v>
                </c:pt>
                <c:pt idx="6">
                  <c:v>TCS</c:v>
                </c:pt>
                <c:pt idx="7">
                  <c:v>Wipro</c:v>
                </c:pt>
              </c:strCache>
            </c:strRef>
          </c:cat>
          <c:val>
            <c:numRef>
              <c:f>'Pivot Tables'!$I$4:$I$12</c:f>
              <c:numCache>
                <c:formatCode>General</c:formatCode>
                <c:ptCount val="8"/>
                <c:pt idx="0">
                  <c:v>10.32258064516129</c:v>
                </c:pt>
                <c:pt idx="1">
                  <c:v>13.636363636363635</c:v>
                </c:pt>
                <c:pt idx="2">
                  <c:v>10.344827586206897</c:v>
                </c:pt>
                <c:pt idx="3">
                  <c:v>13.333333333333334</c:v>
                </c:pt>
                <c:pt idx="4">
                  <c:v>8.7999999999999989</c:v>
                </c:pt>
                <c:pt idx="5">
                  <c:v>11.724137931034482</c:v>
                </c:pt>
                <c:pt idx="6">
                  <c:v>-3.9473684210526314</c:v>
                </c:pt>
                <c:pt idx="7">
                  <c:v>13.461538461538462</c:v>
                </c:pt>
              </c:numCache>
            </c:numRef>
          </c:val>
          <c:extLst>
            <c:ext xmlns:c16="http://schemas.microsoft.com/office/drawing/2014/chart" uri="{C3380CC4-5D6E-409C-BE32-E72D297353CC}">
              <c16:uniqueId val="{00000010-12BD-43FB-AA92-FDE6EBEC591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[Surojit_Sarthak Mukherjee_Excel Project_02.xlsm]Pivot Tables!PivotTable6</c:name>
    <c:fmtId val="1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Tables'!$L$3</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Tables'!$K$4:$K$7</c:f>
              <c:strCache>
                <c:ptCount val="3"/>
                <c:pt idx="0">
                  <c:v>BUY</c:v>
                </c:pt>
                <c:pt idx="1">
                  <c:v>HOLD</c:v>
                </c:pt>
                <c:pt idx="2">
                  <c:v>SELL</c:v>
                </c:pt>
              </c:strCache>
            </c:strRef>
          </c:cat>
          <c:val>
            <c:numRef>
              <c:f>'Pivot Tables'!$L$4:$L$7</c:f>
              <c:numCache>
                <c:formatCode>General</c:formatCode>
                <c:ptCount val="3"/>
                <c:pt idx="0">
                  <c:v>50</c:v>
                </c:pt>
                <c:pt idx="1">
                  <c:v>303</c:v>
                </c:pt>
                <c:pt idx="2">
                  <c:v>15</c:v>
                </c:pt>
              </c:numCache>
            </c:numRef>
          </c:val>
          <c:extLst>
            <c:ext xmlns:c16="http://schemas.microsoft.com/office/drawing/2014/chart" uri="{C3380CC4-5D6E-409C-BE32-E72D297353CC}">
              <c16:uniqueId val="{00000000-C7DD-4420-98DE-7F68F7426AE9}"/>
            </c:ext>
          </c:extLst>
        </c:ser>
        <c:dLbls>
          <c:dLblPos val="inEnd"/>
          <c:showLegendKey val="0"/>
          <c:showVal val="1"/>
          <c:showCatName val="0"/>
          <c:showSerName val="0"/>
          <c:showPercent val="0"/>
          <c:showBubbleSize val="0"/>
        </c:dLbls>
        <c:gapWidth val="100"/>
        <c:axId val="1038566319"/>
        <c:axId val="1038561999"/>
      </c:barChart>
      <c:catAx>
        <c:axId val="1038566319"/>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38561999"/>
        <c:crosses val="autoZero"/>
        <c:auto val="1"/>
        <c:lblAlgn val="ctr"/>
        <c:lblOffset val="100"/>
        <c:noMultiLvlLbl val="0"/>
      </c:catAx>
      <c:valAx>
        <c:axId val="1038561999"/>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38566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449580</xdr:colOff>
      <xdr:row>1</xdr:row>
      <xdr:rowOff>7620</xdr:rowOff>
    </xdr:to>
    <xdr:pic>
      <xdr:nvPicPr>
        <xdr:cNvPr id="2" name="Picture 1">
          <a:extLst>
            <a:ext uri="{FF2B5EF4-FFF2-40B4-BE49-F238E27FC236}">
              <a16:creationId xmlns:a16="http://schemas.microsoft.com/office/drawing/2014/main" id="{5DC0979F-0EEB-A2B4-4680-75959380D5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7536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266700</xdr:colOff>
          <xdr:row>3</xdr:row>
          <xdr:rowOff>30480</xdr:rowOff>
        </xdr:from>
        <xdr:to>
          <xdr:col>15</xdr:col>
          <xdr:colOff>114300</xdr:colOff>
          <xdr:row>5</xdr:row>
          <xdr:rowOff>83820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400" b="1" i="0" u="none" strike="noStrike" baseline="0">
                  <a:solidFill>
                    <a:srgbClr val="000000"/>
                  </a:solidFill>
                  <a:latin typeface="Calibri"/>
                  <a:ea typeface="Calibri"/>
                  <a:cs typeface="Calibri"/>
                </a:rPr>
                <a:t>Recommend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22860</xdr:rowOff>
    </xdr:from>
    <xdr:to>
      <xdr:col>7</xdr:col>
      <xdr:colOff>304800</xdr:colOff>
      <xdr:row>18</xdr:row>
      <xdr:rowOff>22860</xdr:rowOff>
    </xdr:to>
    <xdr:graphicFrame macro="">
      <xdr:nvGraphicFramePr>
        <xdr:cNvPr id="2" name="Chart 1">
          <a:extLst>
            <a:ext uri="{FF2B5EF4-FFF2-40B4-BE49-F238E27FC236}">
              <a16:creationId xmlns:a16="http://schemas.microsoft.com/office/drawing/2014/main" id="{E17D832B-F6AA-4ADF-852A-3D236A34E1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350520</xdr:colOff>
      <xdr:row>3</xdr:row>
      <xdr:rowOff>22860</xdr:rowOff>
    </xdr:from>
    <xdr:to>
      <xdr:col>10</xdr:col>
      <xdr:colOff>350520</xdr:colOff>
      <xdr:row>18</xdr:row>
      <xdr:rowOff>22860</xdr:rowOff>
    </xdr:to>
    <mc:AlternateContent xmlns:mc="http://schemas.openxmlformats.org/markup-compatibility/2006">
      <mc:Choice xmlns:a14="http://schemas.microsoft.com/office/drawing/2010/main" Requires="a14">
        <xdr:graphicFrame macro="">
          <xdr:nvGraphicFramePr>
            <xdr:cNvPr id="3" name="Recommendation">
              <a:extLst>
                <a:ext uri="{FF2B5EF4-FFF2-40B4-BE49-F238E27FC236}">
                  <a16:creationId xmlns:a16="http://schemas.microsoft.com/office/drawing/2014/main" id="{929F7575-94B3-4229-9A2C-E2D4F0EECBA9}"/>
                </a:ext>
              </a:extLst>
            </xdr:cNvPr>
            <xdr:cNvGraphicFramePr/>
          </xdr:nvGraphicFramePr>
          <xdr:xfrm>
            <a:off x="0" y="0"/>
            <a:ext cx="0" cy="0"/>
          </xdr:xfrm>
          <a:graphic>
            <a:graphicData uri="http://schemas.microsoft.com/office/drawing/2010/slicer">
              <sle:slicer xmlns:sle="http://schemas.microsoft.com/office/drawing/2010/slicer" name="Recommendation"/>
            </a:graphicData>
          </a:graphic>
        </xdr:graphicFrame>
      </mc:Choice>
      <mc:Fallback>
        <xdr:sp macro="" textlink="">
          <xdr:nvSpPr>
            <xdr:cNvPr id="0" name=""/>
            <xdr:cNvSpPr>
              <a:spLocks noTextEdit="1"/>
            </xdr:cNvSpPr>
          </xdr:nvSpPr>
          <xdr:spPr>
            <a:xfrm>
              <a:off x="4628833" y="570548"/>
              <a:ext cx="1833562" cy="27384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358140</xdr:colOff>
      <xdr:row>3</xdr:row>
      <xdr:rowOff>7620</xdr:rowOff>
    </xdr:from>
    <xdr:to>
      <xdr:col>18</xdr:col>
      <xdr:colOff>53340</xdr:colOff>
      <xdr:row>18</xdr:row>
      <xdr:rowOff>7620</xdr:rowOff>
    </xdr:to>
    <xdr:graphicFrame macro="">
      <xdr:nvGraphicFramePr>
        <xdr:cNvPr id="4" name="Chart 3">
          <a:extLst>
            <a:ext uri="{FF2B5EF4-FFF2-40B4-BE49-F238E27FC236}">
              <a16:creationId xmlns:a16="http://schemas.microsoft.com/office/drawing/2014/main" id="{1F34E20B-985E-4C71-ACB5-043618FDE4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91440</xdr:colOff>
      <xdr:row>2</xdr:row>
      <xdr:rowOff>175260</xdr:rowOff>
    </xdr:from>
    <xdr:to>
      <xdr:col>20</xdr:col>
      <xdr:colOff>449580</xdr:colOff>
      <xdr:row>18</xdr:row>
      <xdr:rowOff>30480</xdr:rowOff>
    </xdr:to>
    <mc:AlternateContent xmlns:mc="http://schemas.openxmlformats.org/markup-compatibility/2006" xmlns:a14="http://schemas.microsoft.com/office/drawing/2010/main">
      <mc:Choice Requires="a14">
        <xdr:graphicFrame macro="">
          <xdr:nvGraphicFramePr>
            <xdr:cNvPr id="5" name="Recommendation 1">
              <a:extLst>
                <a:ext uri="{FF2B5EF4-FFF2-40B4-BE49-F238E27FC236}">
                  <a16:creationId xmlns:a16="http://schemas.microsoft.com/office/drawing/2014/main" id="{8EB248F9-4EA2-4422-B294-80B156B32B29}"/>
                </a:ext>
              </a:extLst>
            </xdr:cNvPr>
            <xdr:cNvGraphicFramePr/>
          </xdr:nvGraphicFramePr>
          <xdr:xfrm>
            <a:off x="0" y="0"/>
            <a:ext cx="0" cy="0"/>
          </xdr:xfrm>
          <a:graphic>
            <a:graphicData uri="http://schemas.microsoft.com/office/drawing/2010/slicer">
              <sle:slicer xmlns:sle="http://schemas.microsoft.com/office/drawing/2010/slicer" name="Recommendation 1"/>
            </a:graphicData>
          </a:graphic>
        </xdr:graphicFrame>
      </mc:Choice>
      <mc:Fallback xmlns="">
        <xdr:sp macro="" textlink="">
          <xdr:nvSpPr>
            <xdr:cNvPr id="0" name=""/>
            <xdr:cNvSpPr>
              <a:spLocks noTextEdit="1"/>
            </xdr:cNvSpPr>
          </xdr:nvSpPr>
          <xdr:spPr>
            <a:xfrm>
              <a:off x="11064240" y="541020"/>
              <a:ext cx="1577340" cy="2781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441960</xdr:colOff>
      <xdr:row>2</xdr:row>
      <xdr:rowOff>175260</xdr:rowOff>
    </xdr:from>
    <xdr:to>
      <xdr:col>22</xdr:col>
      <xdr:colOff>579120</xdr:colOff>
      <xdr:row>18</xdr:row>
      <xdr:rowOff>15240</xdr:rowOff>
    </xdr:to>
    <mc:AlternateContent xmlns:mc="http://schemas.openxmlformats.org/markup-compatibility/2006" xmlns:a14="http://schemas.microsoft.com/office/drawing/2010/main">
      <mc:Choice Requires="a14">
        <xdr:graphicFrame macro="">
          <xdr:nvGraphicFramePr>
            <xdr:cNvPr id="6" name="Sector">
              <a:extLst>
                <a:ext uri="{FF2B5EF4-FFF2-40B4-BE49-F238E27FC236}">
                  <a16:creationId xmlns:a16="http://schemas.microsoft.com/office/drawing/2014/main" id="{A684FFA0-53C4-4F08-B239-34838E032675}"/>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12633960" y="541020"/>
              <a:ext cx="1356360" cy="2766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175260</xdr:rowOff>
    </xdr:from>
    <xdr:to>
      <xdr:col>7</xdr:col>
      <xdr:colOff>304800</xdr:colOff>
      <xdr:row>32</xdr:row>
      <xdr:rowOff>175260</xdr:rowOff>
    </xdr:to>
    <xdr:graphicFrame macro="">
      <xdr:nvGraphicFramePr>
        <xdr:cNvPr id="7" name="Chart 6">
          <a:extLst>
            <a:ext uri="{FF2B5EF4-FFF2-40B4-BE49-F238E27FC236}">
              <a16:creationId xmlns:a16="http://schemas.microsoft.com/office/drawing/2014/main" id="{5FEE1FA6-568E-4114-9E12-2D9E63B3E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335280</xdr:colOff>
      <xdr:row>18</xdr:row>
      <xdr:rowOff>38100</xdr:rowOff>
    </xdr:from>
    <xdr:to>
      <xdr:col>10</xdr:col>
      <xdr:colOff>335280</xdr:colOff>
      <xdr:row>32</xdr:row>
      <xdr:rowOff>175260</xdr:rowOff>
    </xdr:to>
    <mc:AlternateContent xmlns:mc="http://schemas.openxmlformats.org/markup-compatibility/2006" xmlns:a14="http://schemas.microsoft.com/office/drawing/2010/main">
      <mc:Choice Requires="a14">
        <xdr:graphicFrame macro="">
          <xdr:nvGraphicFramePr>
            <xdr:cNvPr id="8" name="Sector 1">
              <a:extLst>
                <a:ext uri="{FF2B5EF4-FFF2-40B4-BE49-F238E27FC236}">
                  <a16:creationId xmlns:a16="http://schemas.microsoft.com/office/drawing/2014/main" id="{91064FCE-0764-4DEE-965D-E51B4DD5AF5B}"/>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4602480" y="3329940"/>
              <a:ext cx="1828800" cy="2697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373380</xdr:colOff>
      <xdr:row>17</xdr:row>
      <xdr:rowOff>167640</xdr:rowOff>
    </xdr:from>
    <xdr:to>
      <xdr:col>18</xdr:col>
      <xdr:colOff>68580</xdr:colOff>
      <xdr:row>32</xdr:row>
      <xdr:rowOff>167640</xdr:rowOff>
    </xdr:to>
    <xdr:graphicFrame macro="">
      <xdr:nvGraphicFramePr>
        <xdr:cNvPr id="9" name="Chart 8">
          <a:extLst>
            <a:ext uri="{FF2B5EF4-FFF2-40B4-BE49-F238E27FC236}">
              <a16:creationId xmlns:a16="http://schemas.microsoft.com/office/drawing/2014/main" id="{E460EAF6-CD2C-4081-8CD4-0C31599D4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83820</xdr:colOff>
      <xdr:row>18</xdr:row>
      <xdr:rowOff>38100</xdr:rowOff>
    </xdr:from>
    <xdr:to>
      <xdr:col>21</xdr:col>
      <xdr:colOff>83820</xdr:colOff>
      <xdr:row>32</xdr:row>
      <xdr:rowOff>137160</xdr:rowOff>
    </xdr:to>
    <mc:AlternateContent xmlns:mc="http://schemas.openxmlformats.org/markup-compatibility/2006" xmlns:a14="http://schemas.microsoft.com/office/drawing/2010/main">
      <mc:Choice Requires="a14">
        <xdr:graphicFrame macro="">
          <xdr:nvGraphicFramePr>
            <xdr:cNvPr id="10" name="Stock">
              <a:extLst>
                <a:ext uri="{FF2B5EF4-FFF2-40B4-BE49-F238E27FC236}">
                  <a16:creationId xmlns:a16="http://schemas.microsoft.com/office/drawing/2014/main" id="{69CBCE87-6C3E-46BD-969C-215BF2A60BC8}"/>
                </a:ext>
              </a:extLst>
            </xdr:cNvPr>
            <xdr:cNvGraphicFramePr/>
          </xdr:nvGraphicFramePr>
          <xdr:xfrm>
            <a:off x="0" y="0"/>
            <a:ext cx="0" cy="0"/>
          </xdr:xfrm>
          <a:graphic>
            <a:graphicData uri="http://schemas.microsoft.com/office/drawing/2010/slicer">
              <sle:slicer xmlns:sle="http://schemas.microsoft.com/office/drawing/2010/slicer" name="Stock"/>
            </a:graphicData>
          </a:graphic>
        </xdr:graphicFrame>
      </mc:Choice>
      <mc:Fallback xmlns="">
        <xdr:sp macro="" textlink="">
          <xdr:nvSpPr>
            <xdr:cNvPr id="0" name=""/>
            <xdr:cNvSpPr>
              <a:spLocks noTextEdit="1"/>
            </xdr:cNvSpPr>
          </xdr:nvSpPr>
          <xdr:spPr>
            <a:xfrm>
              <a:off x="11056620" y="3329940"/>
              <a:ext cx="1828800" cy="26593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P:\Excel%20Project\Sarthak%20Mukherjee_Excel%20Project_02.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thak Mukherjee" refreshedDate="46159.941593171294" createdVersion="8" refreshedVersion="8" minRefreshableVersion="3" recordCount="8" xr:uid="{E0FD4A9D-6608-41B7-89A2-E984724AD47C}">
  <cacheSource type="worksheet">
    <worksheetSource ref="B14:K22" sheet="Cleaned Data" r:id="rId2"/>
  </cacheSource>
  <cacheFields count="10">
    <cacheField name="Stock" numFmtId="0">
      <sharedItems count="8">
        <s v="Reliance"/>
        <s v="TCS"/>
        <s v="Infosys"/>
        <s v="HDFC Bank"/>
        <s v="ICICI Bank"/>
        <s v="ITC"/>
        <s v="Wipro"/>
        <s v="Sun Pharma"/>
      </sharedItems>
    </cacheField>
    <cacheField name="Sector" numFmtId="0">
      <sharedItems count="5">
        <s v="Energy"/>
        <s v="IT"/>
        <s v="Banking"/>
        <s v="FMCG"/>
        <s v="Healthcare"/>
      </sharedItems>
    </cacheField>
    <cacheField name="Buy Price" numFmtId="0">
      <sharedItems containsSemiMixedTypes="0" containsString="0" containsNumber="1" containsInteger="1" minValue="450" maxValue="3800"/>
    </cacheField>
    <cacheField name="Current Price" numFmtId="0">
      <sharedItems containsSemiMixedTypes="0" containsString="0" containsNumber="1" containsInteger="1" minValue="510" maxValue="3650"/>
    </cacheField>
    <cacheField name="Quantity" numFmtId="0">
      <sharedItems containsSemiMixedTypes="0" containsString="0" containsNumber="1" containsInteger="1" minValue="15" maxValue="100"/>
    </cacheField>
    <cacheField name="Investment" numFmtId="0">
      <sharedItems containsSemiMixedTypes="0" containsString="0" containsNumber="1" containsInteger="1" minValue="38750" maxValue="125000"/>
    </cacheField>
    <cacheField name="Current Value" numFmtId="0">
      <sharedItems containsSemiMixedTypes="0" containsString="0" containsNumber="1" containsInteger="1" minValue="42750" maxValue="136000"/>
    </cacheField>
    <cacheField name="Profit/Loss" numFmtId="0">
      <sharedItems containsSemiMixedTypes="0" containsString="0" containsNumber="1" containsInteger="1" minValue="-2250" maxValue="11000"/>
    </cacheField>
    <cacheField name="Return %" numFmtId="0">
      <sharedItems containsSemiMixedTypes="0" containsString="0" containsNumber="1" minValue="-3.9473684210526314" maxValue="13.636363636363635" count="8">
        <n v="8.7999999999999989"/>
        <n v="-3.9473684210526314"/>
        <n v="10.344827586206897"/>
        <n v="10.32258064516129"/>
        <n v="13.636363636363635"/>
        <n v="13.333333333333334"/>
        <n v="13.461538461538462"/>
        <n v="11.724137931034482"/>
      </sharedItems>
    </cacheField>
    <cacheField name="Recommendation" numFmtId="0">
      <sharedItems count="3">
        <s v="BUY"/>
        <s v="SELL"/>
        <s v="HOLD"/>
      </sharedItems>
    </cacheField>
  </cacheFields>
  <extLst>
    <ext xmlns:x14="http://schemas.microsoft.com/office/spreadsheetml/2009/9/main" uri="{725AE2AE-9491-48be-B2B4-4EB974FC3084}">
      <x14:pivotCacheDefinition pivotCacheId="7126041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n v="2500"/>
    <n v="2720"/>
    <n v="50"/>
    <n v="125000"/>
    <n v="136000"/>
    <n v="11000"/>
    <x v="0"/>
    <x v="0"/>
  </r>
  <r>
    <x v="1"/>
    <x v="1"/>
    <n v="3800"/>
    <n v="3650"/>
    <n v="15"/>
    <n v="57000"/>
    <n v="54750"/>
    <n v="-2250"/>
    <x v="1"/>
    <x v="1"/>
  </r>
  <r>
    <x v="2"/>
    <x v="1"/>
    <n v="1450"/>
    <n v="1600"/>
    <n v="30"/>
    <n v="43500"/>
    <n v="48000"/>
    <n v="4500"/>
    <x v="2"/>
    <x v="2"/>
  </r>
  <r>
    <x v="3"/>
    <x v="2"/>
    <n v="1550"/>
    <n v="1710"/>
    <n v="25"/>
    <n v="38750"/>
    <n v="42750"/>
    <n v="4000"/>
    <x v="3"/>
    <x v="2"/>
  </r>
  <r>
    <x v="4"/>
    <x v="2"/>
    <n v="1100"/>
    <n v="1250"/>
    <n v="40"/>
    <n v="44000"/>
    <n v="50000"/>
    <n v="6000"/>
    <x v="4"/>
    <x v="2"/>
  </r>
  <r>
    <x v="5"/>
    <x v="3"/>
    <n v="450"/>
    <n v="510"/>
    <n v="100"/>
    <n v="45000"/>
    <n v="51000"/>
    <n v="6000"/>
    <x v="5"/>
    <x v="2"/>
  </r>
  <r>
    <x v="6"/>
    <x v="1"/>
    <n v="520"/>
    <n v="590"/>
    <n v="80"/>
    <n v="41600"/>
    <n v="47200"/>
    <n v="5600"/>
    <x v="6"/>
    <x v="2"/>
  </r>
  <r>
    <x v="7"/>
    <x v="4"/>
    <n v="1450"/>
    <n v="1620"/>
    <n v="28"/>
    <n v="40600"/>
    <n v="45360"/>
    <n v="4760"/>
    <x v="7"/>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4F9BE8-E842-4BC0-AADE-3AA371D14E78}" name="PivotTable6"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K3:L7" firstHeaderRow="1" firstDataRow="1" firstDataCol="1"/>
  <pivotFields count="10">
    <pivotField showAll="0">
      <items count="9">
        <item x="3"/>
        <item x="4"/>
        <item x="2"/>
        <item x="5"/>
        <item x="0"/>
        <item x="7"/>
        <item x="1"/>
        <item x="6"/>
        <item t="default"/>
      </items>
    </pivotField>
    <pivotField showAll="0"/>
    <pivotField showAll="0"/>
    <pivotField showAll="0"/>
    <pivotField dataField="1" showAll="0"/>
    <pivotField showAll="0"/>
    <pivotField showAll="0"/>
    <pivotField showAll="0"/>
    <pivotField showAll="0">
      <items count="9">
        <item x="1"/>
        <item x="0"/>
        <item x="3"/>
        <item x="2"/>
        <item x="7"/>
        <item x="5"/>
        <item x="6"/>
        <item x="4"/>
        <item t="default"/>
      </items>
    </pivotField>
    <pivotField axis="axisRow" showAll="0">
      <items count="4">
        <item x="0"/>
        <item x="2"/>
        <item x="1"/>
        <item t="default"/>
      </items>
    </pivotField>
  </pivotFields>
  <rowFields count="1">
    <field x="9"/>
  </rowFields>
  <rowItems count="4">
    <i>
      <x/>
    </i>
    <i>
      <x v="1"/>
    </i>
    <i>
      <x v="2"/>
    </i>
    <i t="grand">
      <x/>
    </i>
  </rowItems>
  <colItems count="1">
    <i/>
  </colItems>
  <dataFields count="1">
    <dataField name="Sum of Quantity" fld="4" baseField="0" baseItem="0"/>
  </dataFields>
  <formats count="30">
    <format dxfId="293">
      <pivotArea type="all" dataOnly="0" outline="0" fieldPosition="0"/>
    </format>
    <format dxfId="292">
      <pivotArea outline="0" collapsedLevelsAreSubtotals="1" fieldPosition="0"/>
    </format>
    <format dxfId="291">
      <pivotArea field="9" type="button" dataOnly="0" labelOnly="1" outline="0" axis="axisRow" fieldPosition="0"/>
    </format>
    <format dxfId="290">
      <pivotArea dataOnly="0" labelOnly="1" fieldPosition="0">
        <references count="1">
          <reference field="9" count="0"/>
        </references>
      </pivotArea>
    </format>
    <format dxfId="289">
      <pivotArea dataOnly="0" labelOnly="1" grandRow="1" outline="0" fieldPosition="0"/>
    </format>
    <format dxfId="288">
      <pivotArea dataOnly="0" labelOnly="1" outline="0" axis="axisValues" fieldPosition="0"/>
    </format>
    <format dxfId="287">
      <pivotArea type="all" dataOnly="0" outline="0" fieldPosition="0"/>
    </format>
    <format dxfId="286">
      <pivotArea outline="0" collapsedLevelsAreSubtotals="1" fieldPosition="0"/>
    </format>
    <format dxfId="285">
      <pivotArea field="9" type="button" dataOnly="0" labelOnly="1" outline="0" axis="axisRow" fieldPosition="0"/>
    </format>
    <format dxfId="284">
      <pivotArea dataOnly="0" labelOnly="1" fieldPosition="0">
        <references count="1">
          <reference field="9" count="0"/>
        </references>
      </pivotArea>
    </format>
    <format dxfId="283">
      <pivotArea dataOnly="0" labelOnly="1" grandRow="1" outline="0" fieldPosition="0"/>
    </format>
    <format dxfId="282">
      <pivotArea dataOnly="0" labelOnly="1" outline="0" axis="axisValues" fieldPosition="0"/>
    </format>
    <format dxfId="281">
      <pivotArea type="all" dataOnly="0" outline="0" fieldPosition="0"/>
    </format>
    <format dxfId="280">
      <pivotArea outline="0" collapsedLevelsAreSubtotals="1" fieldPosition="0"/>
    </format>
    <format dxfId="279">
      <pivotArea field="9" type="button" dataOnly="0" labelOnly="1" outline="0" axis="axisRow" fieldPosition="0"/>
    </format>
    <format dxfId="278">
      <pivotArea dataOnly="0" labelOnly="1" fieldPosition="0">
        <references count="1">
          <reference field="9" count="0"/>
        </references>
      </pivotArea>
    </format>
    <format dxfId="277">
      <pivotArea dataOnly="0" labelOnly="1" grandRow="1" outline="0" fieldPosition="0"/>
    </format>
    <format dxfId="276">
      <pivotArea dataOnly="0" labelOnly="1" outline="0" axis="axisValues" fieldPosition="0"/>
    </format>
    <format dxfId="275">
      <pivotArea type="all" dataOnly="0" outline="0" fieldPosition="0"/>
    </format>
    <format dxfId="274">
      <pivotArea outline="0" collapsedLevelsAreSubtotals="1" fieldPosition="0"/>
    </format>
    <format dxfId="273">
      <pivotArea field="9" type="button" dataOnly="0" labelOnly="1" outline="0" axis="axisRow" fieldPosition="0"/>
    </format>
    <format dxfId="272">
      <pivotArea dataOnly="0" labelOnly="1" fieldPosition="0">
        <references count="1">
          <reference field="9" count="0"/>
        </references>
      </pivotArea>
    </format>
    <format dxfId="271">
      <pivotArea dataOnly="0" labelOnly="1" grandRow="1" outline="0" fieldPosition="0"/>
    </format>
    <format dxfId="270">
      <pivotArea dataOnly="0" labelOnly="1" outline="0" axis="axisValues" fieldPosition="0"/>
    </format>
    <format dxfId="269">
      <pivotArea type="all" dataOnly="0" outline="0" fieldPosition="0"/>
    </format>
    <format dxfId="268">
      <pivotArea outline="0" collapsedLevelsAreSubtotals="1" fieldPosition="0"/>
    </format>
    <format dxfId="267">
      <pivotArea field="9" type="button" dataOnly="0" labelOnly="1" outline="0" axis="axisRow" fieldPosition="0"/>
    </format>
    <format dxfId="266">
      <pivotArea dataOnly="0" labelOnly="1" fieldPosition="0">
        <references count="1">
          <reference field="9" count="0"/>
        </references>
      </pivotArea>
    </format>
    <format dxfId="265">
      <pivotArea dataOnly="0" labelOnly="1" grandRow="1" outline="0" fieldPosition="0"/>
    </format>
    <format dxfId="264">
      <pivotArea dataOnly="0" labelOnly="1" outline="0" axis="axisValues" fieldPosition="0"/>
    </format>
  </formats>
  <chartFormats count="1">
    <chartFormat chart="10"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528E42-EBB0-49E2-BB4B-4A15B5913313}"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3:I12" firstHeaderRow="1" firstDataRow="1" firstDataCol="1"/>
  <pivotFields count="10">
    <pivotField axis="axisRow" showAll="0">
      <items count="9">
        <item x="3"/>
        <item x="4"/>
        <item x="2"/>
        <item x="5"/>
        <item x="0"/>
        <item x="7"/>
        <item x="1"/>
        <item x="6"/>
        <item t="default"/>
      </items>
    </pivotField>
    <pivotField showAll="0">
      <items count="6">
        <item x="2"/>
        <item x="0"/>
        <item x="3"/>
        <item x="4"/>
        <item x="1"/>
        <item t="default"/>
      </items>
    </pivotField>
    <pivotField showAll="0"/>
    <pivotField showAll="0"/>
    <pivotField showAll="0"/>
    <pivotField showAll="0"/>
    <pivotField showAll="0"/>
    <pivotField showAll="0"/>
    <pivotField dataField="1" showAll="0"/>
    <pivotField showAll="0">
      <items count="4">
        <item x="0"/>
        <item x="2"/>
        <item x="1"/>
        <item t="default"/>
      </items>
    </pivotField>
  </pivotFields>
  <rowFields count="1">
    <field x="0"/>
  </rowFields>
  <rowItems count="9">
    <i>
      <x/>
    </i>
    <i>
      <x v="1"/>
    </i>
    <i>
      <x v="2"/>
    </i>
    <i>
      <x v="3"/>
    </i>
    <i>
      <x v="4"/>
    </i>
    <i>
      <x v="5"/>
    </i>
    <i>
      <x v="6"/>
    </i>
    <i>
      <x v="7"/>
    </i>
    <i t="grand">
      <x/>
    </i>
  </rowItems>
  <colItems count="1">
    <i/>
  </colItems>
  <dataFields count="1">
    <dataField name="Sum of Return %" fld="8" baseField="0" baseItem="0"/>
  </dataFields>
  <formats count="24">
    <format dxfId="317">
      <pivotArea type="all" dataOnly="0" outline="0" fieldPosition="0"/>
    </format>
    <format dxfId="316">
      <pivotArea outline="0" collapsedLevelsAreSubtotals="1" fieldPosition="0"/>
    </format>
    <format dxfId="315">
      <pivotArea field="0" type="button" dataOnly="0" labelOnly="1" outline="0" axis="axisRow" fieldPosition="0"/>
    </format>
    <format dxfId="314">
      <pivotArea dataOnly="0" labelOnly="1" fieldPosition="0">
        <references count="1">
          <reference field="0" count="0"/>
        </references>
      </pivotArea>
    </format>
    <format dxfId="313">
      <pivotArea dataOnly="0" labelOnly="1" grandRow="1" outline="0" fieldPosition="0"/>
    </format>
    <format dxfId="312">
      <pivotArea dataOnly="0" labelOnly="1" outline="0" axis="axisValues" fieldPosition="0"/>
    </format>
    <format dxfId="311">
      <pivotArea type="all" dataOnly="0" outline="0" fieldPosition="0"/>
    </format>
    <format dxfId="310">
      <pivotArea outline="0" collapsedLevelsAreSubtotals="1" fieldPosition="0"/>
    </format>
    <format dxfId="309">
      <pivotArea field="0" type="button" dataOnly="0" labelOnly="1" outline="0" axis="axisRow" fieldPosition="0"/>
    </format>
    <format dxfId="308">
      <pivotArea dataOnly="0" labelOnly="1" fieldPosition="0">
        <references count="1">
          <reference field="0" count="0"/>
        </references>
      </pivotArea>
    </format>
    <format dxfId="307">
      <pivotArea dataOnly="0" labelOnly="1" grandRow="1" outline="0" fieldPosition="0"/>
    </format>
    <format dxfId="306">
      <pivotArea dataOnly="0" labelOnly="1" outline="0" axis="axisValues" fieldPosition="0"/>
    </format>
    <format dxfId="305">
      <pivotArea type="all" dataOnly="0" outline="0" fieldPosition="0"/>
    </format>
    <format dxfId="304">
      <pivotArea outline="0" collapsedLevelsAreSubtotals="1" fieldPosition="0"/>
    </format>
    <format dxfId="303">
      <pivotArea field="0" type="button" dataOnly="0" labelOnly="1" outline="0" axis="axisRow" fieldPosition="0"/>
    </format>
    <format dxfId="302">
      <pivotArea dataOnly="0" labelOnly="1" fieldPosition="0">
        <references count="1">
          <reference field="0" count="0"/>
        </references>
      </pivotArea>
    </format>
    <format dxfId="301">
      <pivotArea dataOnly="0" labelOnly="1" grandRow="1" outline="0" fieldPosition="0"/>
    </format>
    <format dxfId="300">
      <pivotArea dataOnly="0" labelOnly="1" outline="0" axis="axisValues" fieldPosition="0"/>
    </format>
    <format dxfId="299">
      <pivotArea type="all" dataOnly="0" outline="0" fieldPosition="0"/>
    </format>
    <format dxfId="298">
      <pivotArea outline="0" collapsedLevelsAreSubtotals="1" fieldPosition="0"/>
    </format>
    <format dxfId="297">
      <pivotArea field="0" type="button" dataOnly="0" labelOnly="1" outline="0" axis="axisRow" fieldPosition="0"/>
    </format>
    <format dxfId="296">
      <pivotArea dataOnly="0" labelOnly="1" fieldPosition="0">
        <references count="1">
          <reference field="0" count="0"/>
        </references>
      </pivotArea>
    </format>
    <format dxfId="295">
      <pivotArea dataOnly="0" labelOnly="1" grandRow="1" outline="0" fieldPosition="0"/>
    </format>
    <format dxfId="294">
      <pivotArea dataOnly="0" labelOnly="1" outline="0" axis="axisValues" fieldPosition="0"/>
    </format>
  </formats>
  <chartFormats count="9">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3" format="12">
      <pivotArea type="data" outline="0" fieldPosition="0">
        <references count="2">
          <reference field="4294967294" count="1" selected="0">
            <x v="0"/>
          </reference>
          <reference field="0" count="1" selected="0">
            <x v="1"/>
          </reference>
        </references>
      </pivotArea>
    </chartFormat>
    <chartFormat chart="3" format="13">
      <pivotArea type="data" outline="0" fieldPosition="0">
        <references count="2">
          <reference field="4294967294" count="1" selected="0">
            <x v="0"/>
          </reference>
          <reference field="0" count="1" selected="0">
            <x v="2"/>
          </reference>
        </references>
      </pivotArea>
    </chartFormat>
    <chartFormat chart="3" format="14">
      <pivotArea type="data" outline="0" fieldPosition="0">
        <references count="2">
          <reference field="4294967294" count="1" selected="0">
            <x v="0"/>
          </reference>
          <reference field="0" count="1" selected="0">
            <x v="3"/>
          </reference>
        </references>
      </pivotArea>
    </chartFormat>
    <chartFormat chart="3" format="15">
      <pivotArea type="data" outline="0" fieldPosition="0">
        <references count="2">
          <reference field="4294967294" count="1" selected="0">
            <x v="0"/>
          </reference>
          <reference field="0" count="1" selected="0">
            <x v="4"/>
          </reference>
        </references>
      </pivotArea>
    </chartFormat>
    <chartFormat chart="3" format="16">
      <pivotArea type="data" outline="0" fieldPosition="0">
        <references count="2">
          <reference field="4294967294" count="1" selected="0">
            <x v="0"/>
          </reference>
          <reference field="0" count="1" selected="0">
            <x v="5"/>
          </reference>
        </references>
      </pivotArea>
    </chartFormat>
    <chartFormat chart="3" format="17">
      <pivotArea type="data" outline="0" fieldPosition="0">
        <references count="2">
          <reference field="4294967294" count="1" selected="0">
            <x v="0"/>
          </reference>
          <reference field="0" count="1" selected="0">
            <x v="6"/>
          </reference>
        </references>
      </pivotArea>
    </chartFormat>
    <chartFormat chart="3" format="18">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139097-9CF6-4BEF-ADAC-FB70AD0DC995}"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E3:F12" firstHeaderRow="1" firstDataRow="1" firstDataCol="1"/>
  <pivotFields count="10">
    <pivotField axis="axisRow" showAll="0">
      <items count="9">
        <item x="3"/>
        <item x="4"/>
        <item x="2"/>
        <item x="5"/>
        <item x="0"/>
        <item x="7"/>
        <item x="1"/>
        <item x="6"/>
        <item t="default"/>
      </items>
    </pivotField>
    <pivotField showAll="0">
      <items count="6">
        <item x="2"/>
        <item x="0"/>
        <item x="3"/>
        <item x="4"/>
        <item x="1"/>
        <item t="default"/>
      </items>
    </pivotField>
    <pivotField showAll="0"/>
    <pivotField showAll="0"/>
    <pivotField showAll="0"/>
    <pivotField showAll="0"/>
    <pivotField showAll="0"/>
    <pivotField dataField="1" showAll="0"/>
    <pivotField showAll="0"/>
    <pivotField showAll="0">
      <items count="4">
        <item x="0"/>
        <item x="2"/>
        <item x="1"/>
        <item t="default"/>
      </items>
    </pivotField>
  </pivotFields>
  <rowFields count="1">
    <field x="0"/>
  </rowFields>
  <rowItems count="9">
    <i>
      <x/>
    </i>
    <i>
      <x v="1"/>
    </i>
    <i>
      <x v="2"/>
    </i>
    <i>
      <x v="3"/>
    </i>
    <i>
      <x v="4"/>
    </i>
    <i>
      <x v="5"/>
    </i>
    <i>
      <x v="6"/>
    </i>
    <i>
      <x v="7"/>
    </i>
    <i t="grand">
      <x/>
    </i>
  </rowItems>
  <colItems count="1">
    <i/>
  </colItems>
  <dataFields count="1">
    <dataField name="Sum of Profit/Loss" fld="7" baseField="0" baseItem="0"/>
  </dataFields>
  <formats count="36">
    <format dxfId="353">
      <pivotArea type="all" dataOnly="0" outline="0" fieldPosition="0"/>
    </format>
    <format dxfId="352">
      <pivotArea outline="0" collapsedLevelsAreSubtotals="1" fieldPosition="0"/>
    </format>
    <format dxfId="351">
      <pivotArea field="0" type="button" dataOnly="0" labelOnly="1" outline="0" axis="axisRow" fieldPosition="0"/>
    </format>
    <format dxfId="350">
      <pivotArea dataOnly="0" labelOnly="1" fieldPosition="0">
        <references count="1">
          <reference field="0" count="0"/>
        </references>
      </pivotArea>
    </format>
    <format dxfId="349">
      <pivotArea dataOnly="0" labelOnly="1" grandRow="1" outline="0" fieldPosition="0"/>
    </format>
    <format dxfId="348">
      <pivotArea dataOnly="0" labelOnly="1" outline="0" axis="axisValues" fieldPosition="0"/>
    </format>
    <format dxfId="347">
      <pivotArea type="all" dataOnly="0" outline="0" fieldPosition="0"/>
    </format>
    <format dxfId="346">
      <pivotArea outline="0" collapsedLevelsAreSubtotals="1" fieldPosition="0"/>
    </format>
    <format dxfId="345">
      <pivotArea field="0" type="button" dataOnly="0" labelOnly="1" outline="0" axis="axisRow" fieldPosition="0"/>
    </format>
    <format dxfId="344">
      <pivotArea dataOnly="0" labelOnly="1" fieldPosition="0">
        <references count="1">
          <reference field="0" count="0"/>
        </references>
      </pivotArea>
    </format>
    <format dxfId="343">
      <pivotArea dataOnly="0" labelOnly="1" grandRow="1" outline="0" fieldPosition="0"/>
    </format>
    <format dxfId="342">
      <pivotArea dataOnly="0" labelOnly="1" outline="0" axis="axisValues" fieldPosition="0"/>
    </format>
    <format dxfId="341">
      <pivotArea type="all" dataOnly="0" outline="0" fieldPosition="0"/>
    </format>
    <format dxfId="340">
      <pivotArea outline="0" collapsedLevelsAreSubtotals="1" fieldPosition="0"/>
    </format>
    <format dxfId="339">
      <pivotArea field="0" type="button" dataOnly="0" labelOnly="1" outline="0" axis="axisRow" fieldPosition="0"/>
    </format>
    <format dxfId="338">
      <pivotArea dataOnly="0" labelOnly="1" fieldPosition="0">
        <references count="1">
          <reference field="0" count="0"/>
        </references>
      </pivotArea>
    </format>
    <format dxfId="337">
      <pivotArea dataOnly="0" labelOnly="1" grandRow="1" outline="0" fieldPosition="0"/>
    </format>
    <format dxfId="336">
      <pivotArea dataOnly="0" labelOnly="1" outline="0" axis="axisValues" fieldPosition="0"/>
    </format>
    <format dxfId="335">
      <pivotArea type="all" dataOnly="0" outline="0" fieldPosition="0"/>
    </format>
    <format dxfId="334">
      <pivotArea outline="0" collapsedLevelsAreSubtotals="1" fieldPosition="0"/>
    </format>
    <format dxfId="333">
      <pivotArea field="0" type="button" dataOnly="0" labelOnly="1" outline="0" axis="axisRow" fieldPosition="0"/>
    </format>
    <format dxfId="332">
      <pivotArea dataOnly="0" labelOnly="1" fieldPosition="0">
        <references count="1">
          <reference field="0" count="0"/>
        </references>
      </pivotArea>
    </format>
    <format dxfId="331">
      <pivotArea dataOnly="0" labelOnly="1" grandRow="1" outline="0" fieldPosition="0"/>
    </format>
    <format dxfId="330">
      <pivotArea dataOnly="0" labelOnly="1" outline="0" axis="axisValues" fieldPosition="0"/>
    </format>
    <format dxfId="329">
      <pivotArea type="all" dataOnly="0" outline="0" fieldPosition="0"/>
    </format>
    <format dxfId="328">
      <pivotArea outline="0" collapsedLevelsAreSubtotals="1" fieldPosition="0"/>
    </format>
    <format dxfId="327">
      <pivotArea field="0" type="button" dataOnly="0" labelOnly="1" outline="0" axis="axisRow" fieldPosition="0"/>
    </format>
    <format dxfId="326">
      <pivotArea dataOnly="0" labelOnly="1" fieldPosition="0">
        <references count="1">
          <reference field="0" count="0"/>
        </references>
      </pivotArea>
    </format>
    <format dxfId="325">
      <pivotArea dataOnly="0" labelOnly="1" grandRow="1" outline="0" fieldPosition="0"/>
    </format>
    <format dxfId="324">
      <pivotArea dataOnly="0" labelOnly="1" outline="0" axis="axisValues" fieldPosition="0"/>
    </format>
    <format dxfId="323">
      <pivotArea type="all" dataOnly="0" outline="0" fieldPosition="0"/>
    </format>
    <format dxfId="322">
      <pivotArea outline="0" collapsedLevelsAreSubtotals="1" fieldPosition="0"/>
    </format>
    <format dxfId="321">
      <pivotArea field="0" type="button" dataOnly="0" labelOnly="1" outline="0" axis="axisRow" fieldPosition="0"/>
    </format>
    <format dxfId="320">
      <pivotArea dataOnly="0" labelOnly="1" fieldPosition="0">
        <references count="1">
          <reference field="0" count="0"/>
        </references>
      </pivotArea>
    </format>
    <format dxfId="319">
      <pivotArea dataOnly="0" labelOnly="1" grandRow="1" outline="0" fieldPosition="0"/>
    </format>
    <format dxfId="318">
      <pivotArea dataOnly="0" labelOnly="1" outline="0" axis="axisValues"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FB71B1-D279-4D28-A925-FB818B84BD3C}"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C12" firstHeaderRow="0" firstDataRow="1" firstDataCol="1"/>
  <pivotFields count="10">
    <pivotField axis="axisRow" showAll="0">
      <items count="9">
        <item x="3"/>
        <item x="4"/>
        <item x="2"/>
        <item x="5"/>
        <item x="0"/>
        <item x="7"/>
        <item x="1"/>
        <item x="6"/>
        <item t="default"/>
      </items>
    </pivotField>
    <pivotField showAll="0"/>
    <pivotField showAll="0"/>
    <pivotField showAll="0"/>
    <pivotField showAll="0"/>
    <pivotField dataField="1" showAll="0"/>
    <pivotField dataField="1" showAll="0"/>
    <pivotField showAll="0"/>
    <pivotField showAll="0"/>
    <pivotField showAll="0">
      <items count="4">
        <item x="0"/>
        <item x="2"/>
        <item x="1"/>
        <item t="default"/>
      </items>
    </pivotField>
  </pivotFields>
  <rowFields count="1">
    <field x="0"/>
  </rowFields>
  <rowItems count="9">
    <i>
      <x/>
    </i>
    <i>
      <x v="1"/>
    </i>
    <i>
      <x v="2"/>
    </i>
    <i>
      <x v="3"/>
    </i>
    <i>
      <x v="4"/>
    </i>
    <i>
      <x v="5"/>
    </i>
    <i>
      <x v="6"/>
    </i>
    <i>
      <x v="7"/>
    </i>
    <i t="grand">
      <x/>
    </i>
  </rowItems>
  <colFields count="1">
    <field x="-2"/>
  </colFields>
  <colItems count="2">
    <i>
      <x/>
    </i>
    <i i="1">
      <x v="1"/>
    </i>
  </colItems>
  <dataFields count="2">
    <dataField name="Sum of Investment" fld="5" baseField="0" baseItem="0"/>
    <dataField name="Sum of Current Value" fld="6" baseField="0" baseItem="0"/>
  </dataFields>
  <formats count="24">
    <format dxfId="377">
      <pivotArea type="all" dataOnly="0" outline="0" fieldPosition="0"/>
    </format>
    <format dxfId="376">
      <pivotArea outline="0" collapsedLevelsAreSubtotals="1" fieldPosition="0"/>
    </format>
    <format dxfId="375">
      <pivotArea field="0" type="button" dataOnly="0" labelOnly="1" outline="0" axis="axisRow" fieldPosition="0"/>
    </format>
    <format dxfId="374">
      <pivotArea dataOnly="0" labelOnly="1" fieldPosition="0">
        <references count="1">
          <reference field="0" count="0"/>
        </references>
      </pivotArea>
    </format>
    <format dxfId="373">
      <pivotArea dataOnly="0" labelOnly="1" grandRow="1" outline="0" fieldPosition="0"/>
    </format>
    <format dxfId="372">
      <pivotArea dataOnly="0" labelOnly="1" outline="0" fieldPosition="0">
        <references count="1">
          <reference field="4294967294" count="2">
            <x v="0"/>
            <x v="1"/>
          </reference>
        </references>
      </pivotArea>
    </format>
    <format dxfId="371">
      <pivotArea type="all" dataOnly="0" outline="0" fieldPosition="0"/>
    </format>
    <format dxfId="370">
      <pivotArea outline="0" collapsedLevelsAreSubtotals="1" fieldPosition="0"/>
    </format>
    <format dxfId="369">
      <pivotArea field="0" type="button" dataOnly="0" labelOnly="1" outline="0" axis="axisRow" fieldPosition="0"/>
    </format>
    <format dxfId="368">
      <pivotArea dataOnly="0" labelOnly="1" fieldPosition="0">
        <references count="1">
          <reference field="0" count="0"/>
        </references>
      </pivotArea>
    </format>
    <format dxfId="367">
      <pivotArea dataOnly="0" labelOnly="1" grandRow="1" outline="0" fieldPosition="0"/>
    </format>
    <format dxfId="366">
      <pivotArea dataOnly="0" labelOnly="1" outline="0" fieldPosition="0">
        <references count="1">
          <reference field="4294967294" count="2">
            <x v="0"/>
            <x v="1"/>
          </reference>
        </references>
      </pivotArea>
    </format>
    <format dxfId="365">
      <pivotArea type="all" dataOnly="0" outline="0" fieldPosition="0"/>
    </format>
    <format dxfId="364">
      <pivotArea outline="0" collapsedLevelsAreSubtotals="1" fieldPosition="0"/>
    </format>
    <format dxfId="363">
      <pivotArea field="0" type="button" dataOnly="0" labelOnly="1" outline="0" axis="axisRow" fieldPosition="0"/>
    </format>
    <format dxfId="362">
      <pivotArea dataOnly="0" labelOnly="1" fieldPosition="0">
        <references count="1">
          <reference field="0" count="0"/>
        </references>
      </pivotArea>
    </format>
    <format dxfId="361">
      <pivotArea dataOnly="0" labelOnly="1" grandRow="1" outline="0" fieldPosition="0"/>
    </format>
    <format dxfId="360">
      <pivotArea dataOnly="0" labelOnly="1" outline="0" fieldPosition="0">
        <references count="1">
          <reference field="4294967294" count="2">
            <x v="0"/>
            <x v="1"/>
          </reference>
        </references>
      </pivotArea>
    </format>
    <format dxfId="359">
      <pivotArea type="all" dataOnly="0" outline="0" fieldPosition="0"/>
    </format>
    <format dxfId="358">
      <pivotArea outline="0" collapsedLevelsAreSubtotals="1" fieldPosition="0"/>
    </format>
    <format dxfId="357">
      <pivotArea field="0" type="button" dataOnly="0" labelOnly="1" outline="0" axis="axisRow" fieldPosition="0"/>
    </format>
    <format dxfId="356">
      <pivotArea dataOnly="0" labelOnly="1" fieldPosition="0">
        <references count="1">
          <reference field="0" count="0"/>
        </references>
      </pivotArea>
    </format>
    <format dxfId="355">
      <pivotArea dataOnly="0" labelOnly="1" grandRow="1" outline="0" fieldPosition="0"/>
    </format>
    <format dxfId="354">
      <pivotArea dataOnly="0" labelOnly="1" outline="0" fieldPosition="0">
        <references count="1">
          <reference field="4294967294" count="2">
            <x v="0"/>
            <x v="1"/>
          </reference>
        </references>
      </pivotArea>
    </format>
  </format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ommendation" xr10:uid="{F0FE8A03-4DF5-4198-8BC0-45895AD7385E}" sourceName="Recommendation">
  <pivotTables>
    <pivotTable tabId="5" name="PivotTable1"/>
  </pivotTables>
  <data>
    <tabular pivotCacheId="712604119">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ommendation1" xr10:uid="{25F7477D-C6DA-42A2-82D4-878BBEA28521}" sourceName="Recommendation">
  <pivotTables>
    <pivotTable tabId="5" name="PivotTable2"/>
  </pivotTables>
  <data>
    <tabular pivotCacheId="712604119">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1A650510-FB5A-4ADE-B689-8E29AC39DD35}" sourceName="Sector">
  <pivotTables>
    <pivotTable tabId="5" name="PivotTable2"/>
  </pivotTables>
  <data>
    <tabular pivotCacheId="712604119">
      <items count="5">
        <i x="2" s="1"/>
        <i x="0" s="1"/>
        <i x="3" s="1"/>
        <i x="4"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1" xr10:uid="{2B73DA06-56C3-48EC-A20A-F8E6517AC0EA}" sourceName="Sector">
  <pivotTables>
    <pivotTable tabId="5" name="PivotTable3"/>
  </pivotTables>
  <data>
    <tabular pivotCacheId="712604119">
      <items count="5">
        <i x="2" s="1"/>
        <i x="0" s="1"/>
        <i x="3" s="1"/>
        <i x="4"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ck" xr10:uid="{48A5D4C1-DC8D-4CB1-827A-35491EE609C6}" sourceName="Stock">
  <pivotTables>
    <pivotTable tabId="5" name="PivotTable6"/>
  </pivotTables>
  <data>
    <tabular pivotCacheId="712604119">
      <items count="8">
        <i x="3" s="1"/>
        <i x="4" s="1"/>
        <i x="2" s="1"/>
        <i x="5" s="1"/>
        <i x="0" s="1"/>
        <i x="7" s="1"/>
        <i x="1"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commendation" xr10:uid="{C8FED75A-652D-4460-9B4F-34B3D50D8372}" cache="Slicer_Recommendation" caption="Recommendation" style="SlicerStyleDark3" rowHeight="234950"/>
  <slicer name="Recommendation 1" xr10:uid="{F88085A2-4BF0-4BB9-BA3B-1D48CAA8C3D1}" cache="Slicer_Recommendation1" caption="Recommendation" style="SlicerStyleDark1" rowHeight="234950"/>
  <slicer name="Sector" xr10:uid="{A65023AC-D31A-49C3-A544-C6730AC74E5C}" cache="Slicer_Sector" caption="Sector" style="SlicerStyleDark5" rowHeight="234950"/>
  <slicer name="Sector 1" xr10:uid="{84D288ED-2727-4750-8949-A60141885FB8}" cache="Slicer_Sector1" caption="Sector" style="SlicerStyleDark4" rowHeight="234950"/>
  <slicer name="Stock" xr10:uid="{82454B61-F704-48CF-AC1D-B61B081C64AC}" cache="Slicer_Stock" caption="Stock"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E3CED-B01E-4DAA-954C-4B51E8FC1A98}" name="Table1" displayName="Table1" ref="A10:K19" totalsRowShown="0" headerRowDxfId="252" dataDxfId="251" headerRowBorderDxfId="380" tableBorderDxfId="379" totalsRowBorderDxfId="378">
  <autoFilter ref="A10:K19" xr:uid="{941E3CED-B01E-4DAA-954C-4B51E8FC1A98}"/>
  <tableColumns count="11">
    <tableColumn id="1" xr3:uid="{7789AF71-68CC-48B3-9D07-D46C465B3A22}" name="Sl No" dataDxfId="263">
      <calculatedColumnFormula>ROW()-1</calculatedColumnFormula>
    </tableColumn>
    <tableColumn id="2" xr3:uid="{92CA24D0-DC66-4EE6-BBAD-E0C0A4492B70}" name="Stock" dataDxfId="262"/>
    <tableColumn id="3" xr3:uid="{B650DCE6-25AF-4322-AB07-1E08A47DEF4D}" name="Sector" dataDxfId="261"/>
    <tableColumn id="4" xr3:uid="{8ABCD698-30D2-4435-9EE8-EF9F74437793}" name="Buy Price" dataDxfId="260" dataCellStyle="Comma"/>
    <tableColumn id="5" xr3:uid="{E70FFF02-D55E-49CA-9161-D2DC5FDD40CB}" name="Current Price" dataDxfId="259" dataCellStyle="Comma"/>
    <tableColumn id="6" xr3:uid="{F20E08E4-D6F4-4564-A844-D84D48833BE0}" name="Quantity" dataDxfId="258"/>
    <tableColumn id="7" xr3:uid="{AFE8644F-7F38-4BA7-BDC1-5B9BCAC1613F}" name="Investment" dataDxfId="257" dataCellStyle="Comma">
      <calculatedColumnFormula>F11*D11</calculatedColumnFormula>
    </tableColumn>
    <tableColumn id="8" xr3:uid="{D4975A16-8DFC-47D1-9C8B-BF3E81F4B67C}" name="Current Value" dataDxfId="256" dataCellStyle="Comma">
      <calculatedColumnFormula>F11*E11</calculatedColumnFormula>
    </tableColumn>
    <tableColumn id="9" xr3:uid="{A68F1050-0535-4C60-97B4-ACC77861C09B}" name="Profit/Loss" dataDxfId="255" dataCellStyle="Comma">
      <calculatedColumnFormula>H11-G11</calculatedColumnFormula>
    </tableColumn>
    <tableColumn id="10" xr3:uid="{35FB5448-3DFF-4659-8D9A-B5C7438F4202}" name="Return %" dataDxfId="254">
      <calculatedColumnFormula>((H11-G11)/G11)*100</calculatedColumnFormula>
    </tableColumn>
    <tableColumn id="11" xr3:uid="{8694756E-A5DD-4C45-BAE8-57BA1232F219}" name="Signal" dataDxfId="253">
      <calculatedColumnFormula>IF(J11&gt;=10,"HOLD",IF(J11&gt;=5,"BUY","SELL"))</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AB510-E039-4E41-B556-05CB282E5556}">
  <sheetPr codeName="Sheet1"/>
  <dimension ref="A1:P30"/>
  <sheetViews>
    <sheetView showGridLines="0" showRowColHeaders="0" tabSelected="1" topLeftCell="A4" workbookViewId="0">
      <selection activeCell="N15" sqref="N15"/>
    </sheetView>
  </sheetViews>
  <sheetFormatPr defaultRowHeight="14.4" x14ac:dyDescent="0.3"/>
  <cols>
    <col min="1" max="1" width="7.6640625" customWidth="1"/>
    <col min="2" max="2" width="15.88671875" bestFit="1" customWidth="1"/>
    <col min="3" max="3" width="12.44140625" customWidth="1"/>
    <col min="4" max="4" width="14.44140625" customWidth="1"/>
    <col min="5" max="5" width="11.88671875" bestFit="1" customWidth="1"/>
    <col min="6" max="6" width="14.6640625" bestFit="1" customWidth="1"/>
    <col min="7" max="7" width="13.77734375" customWidth="1"/>
    <col min="8" max="8" width="15.33203125" bestFit="1" customWidth="1"/>
    <col min="9" max="9" width="16.44140625" bestFit="1" customWidth="1"/>
    <col min="10" max="10" width="18.5546875" bestFit="1" customWidth="1"/>
    <col min="11" max="11" width="15.88671875" bestFit="1" customWidth="1"/>
    <col min="12" max="12" width="13" bestFit="1" customWidth="1"/>
    <col min="13" max="14" width="10.109375" bestFit="1" customWidth="1"/>
    <col min="15" max="15" width="9.109375" bestFit="1" customWidth="1"/>
  </cols>
  <sheetData>
    <row r="1" spans="1:16" ht="14.4" customHeight="1" x14ac:dyDescent="0.3">
      <c r="A1" s="19" t="s">
        <v>46</v>
      </c>
      <c r="B1" s="20"/>
      <c r="C1" s="20"/>
      <c r="D1" s="20"/>
      <c r="E1" s="20"/>
      <c r="F1" s="20"/>
      <c r="G1" s="20"/>
      <c r="H1" s="20"/>
      <c r="I1" s="20"/>
      <c r="J1" s="20"/>
      <c r="K1" s="20"/>
      <c r="L1" s="20"/>
      <c r="M1" s="20"/>
      <c r="N1" s="20"/>
      <c r="O1" s="20"/>
      <c r="P1" s="21"/>
    </row>
    <row r="2" spans="1:16" x14ac:dyDescent="0.3">
      <c r="A2" s="22"/>
      <c r="B2" s="23"/>
      <c r="C2" s="23"/>
      <c r="D2" s="23"/>
      <c r="E2" s="23"/>
      <c r="F2" s="23"/>
      <c r="G2" s="23"/>
      <c r="H2" s="23"/>
      <c r="I2" s="23"/>
      <c r="J2" s="23"/>
      <c r="K2" s="23"/>
      <c r="L2" s="23"/>
      <c r="M2" s="23"/>
      <c r="N2" s="23"/>
      <c r="O2" s="23"/>
      <c r="P2" s="24"/>
    </row>
    <row r="3" spans="1:16" x14ac:dyDescent="0.3">
      <c r="A3" s="25"/>
      <c r="B3" s="26"/>
      <c r="C3" s="26"/>
      <c r="D3" s="26"/>
      <c r="E3" s="26"/>
      <c r="F3" s="26"/>
      <c r="G3" s="26"/>
      <c r="H3" s="26"/>
      <c r="I3" s="26"/>
      <c r="J3" s="26"/>
      <c r="K3" s="26"/>
      <c r="L3" s="26"/>
      <c r="M3" s="26"/>
      <c r="N3" s="26"/>
      <c r="O3" s="26"/>
      <c r="P3" s="27"/>
    </row>
    <row r="4" spans="1:16" x14ac:dyDescent="0.3">
      <c r="A4" s="52" t="s">
        <v>106</v>
      </c>
      <c r="B4" s="53"/>
      <c r="C4" s="53"/>
      <c r="D4" s="54"/>
      <c r="E4" s="64" t="s">
        <v>107</v>
      </c>
      <c r="F4" s="65"/>
      <c r="G4" s="65"/>
      <c r="H4" s="66"/>
      <c r="I4" s="28" t="s">
        <v>108</v>
      </c>
      <c r="J4" s="29"/>
      <c r="K4" s="29"/>
      <c r="L4" s="30"/>
      <c r="M4" s="76" t="s">
        <v>109</v>
      </c>
      <c r="N4" s="77"/>
      <c r="O4" s="77"/>
      <c r="P4" s="78"/>
    </row>
    <row r="5" spans="1:16" x14ac:dyDescent="0.3">
      <c r="A5" s="52"/>
      <c r="B5" s="53"/>
      <c r="C5" s="53"/>
      <c r="D5" s="54"/>
      <c r="E5" s="64"/>
      <c r="F5" s="65"/>
      <c r="G5" s="65"/>
      <c r="H5" s="66"/>
      <c r="I5" s="28"/>
      <c r="J5" s="29"/>
      <c r="K5" s="29"/>
      <c r="L5" s="30"/>
      <c r="M5" s="76"/>
      <c r="N5" s="77"/>
      <c r="O5" s="77"/>
      <c r="P5" s="78"/>
    </row>
    <row r="6" spans="1:16" x14ac:dyDescent="0.3">
      <c r="A6" s="55"/>
      <c r="B6" s="56"/>
      <c r="C6" s="56"/>
      <c r="D6" s="57"/>
      <c r="E6" s="67"/>
      <c r="F6" s="68"/>
      <c r="G6" s="68"/>
      <c r="H6" s="69"/>
      <c r="I6" s="31"/>
      <c r="J6" s="32"/>
      <c r="K6" s="32"/>
      <c r="L6" s="33"/>
      <c r="M6" s="79"/>
      <c r="N6" s="80"/>
      <c r="O6" s="80"/>
      <c r="P6" s="81"/>
    </row>
    <row r="7" spans="1:16" x14ac:dyDescent="0.3">
      <c r="A7" s="58">
        <f>SUM(G20)</f>
        <v>582850</v>
      </c>
      <c r="B7" s="59"/>
      <c r="C7" s="59"/>
      <c r="D7" s="60"/>
      <c r="E7" s="70">
        <f>SUM(H20)</f>
        <v>641060</v>
      </c>
      <c r="F7" s="71"/>
      <c r="G7" s="71"/>
      <c r="H7" s="72"/>
      <c r="I7" s="34">
        <f>E7-A7</f>
        <v>58210</v>
      </c>
      <c r="J7" s="35"/>
      <c r="K7" s="35"/>
      <c r="L7" s="36"/>
      <c r="M7" s="82">
        <f>IF(A7=0,0,(E7-A7)/A7)</f>
        <v>9.9871321952474904E-2</v>
      </c>
      <c r="N7" s="83"/>
      <c r="O7" s="83"/>
      <c r="P7" s="84"/>
    </row>
    <row r="8" spans="1:16" x14ac:dyDescent="0.3">
      <c r="A8" s="61"/>
      <c r="B8" s="62"/>
      <c r="C8" s="62"/>
      <c r="D8" s="63"/>
      <c r="E8" s="73"/>
      <c r="F8" s="74"/>
      <c r="G8" s="74"/>
      <c r="H8" s="75"/>
      <c r="I8" s="37"/>
      <c r="J8" s="38"/>
      <c r="K8" s="38"/>
      <c r="L8" s="39"/>
      <c r="M8" s="85"/>
      <c r="N8" s="86"/>
      <c r="O8" s="86"/>
      <c r="P8" s="87"/>
    </row>
    <row r="9" spans="1:16" ht="21" x14ac:dyDescent="0.3">
      <c r="A9" s="46" t="s">
        <v>110</v>
      </c>
      <c r="B9" s="47"/>
      <c r="C9" s="47"/>
      <c r="D9" s="48"/>
      <c r="E9" s="46" t="s">
        <v>111</v>
      </c>
      <c r="F9" s="47"/>
      <c r="G9" s="47"/>
      <c r="H9" s="48"/>
      <c r="I9" s="49" t="s">
        <v>112</v>
      </c>
      <c r="J9" s="50"/>
      <c r="K9" s="50"/>
      <c r="L9" s="51"/>
      <c r="M9" s="46" t="s">
        <v>113</v>
      </c>
      <c r="N9" s="47"/>
      <c r="O9" s="47"/>
      <c r="P9" s="48"/>
    </row>
    <row r="10" spans="1:16" ht="15.6" x14ac:dyDescent="0.3">
      <c r="A10" s="88" t="s">
        <v>47</v>
      </c>
      <c r="B10" s="89" t="s">
        <v>0</v>
      </c>
      <c r="C10" s="89" t="s">
        <v>1</v>
      </c>
      <c r="D10" s="90" t="s">
        <v>2</v>
      </c>
      <c r="E10" s="90" t="s">
        <v>3</v>
      </c>
      <c r="F10" s="89" t="s">
        <v>4</v>
      </c>
      <c r="G10" s="90" t="s">
        <v>5</v>
      </c>
      <c r="H10" s="90" t="s">
        <v>6</v>
      </c>
      <c r="I10" s="90" t="s">
        <v>7</v>
      </c>
      <c r="J10" s="89" t="s">
        <v>8</v>
      </c>
      <c r="K10" s="91" t="s">
        <v>116</v>
      </c>
    </row>
    <row r="11" spans="1:16" ht="15.6" x14ac:dyDescent="0.3">
      <c r="A11" s="92">
        <f t="shared" ref="A11:A19" si="0">ROW()-1</f>
        <v>10</v>
      </c>
      <c r="B11" s="93" t="s">
        <v>48</v>
      </c>
      <c r="C11" s="93" t="s">
        <v>23</v>
      </c>
      <c r="D11" s="94">
        <v>800</v>
      </c>
      <c r="E11" s="94">
        <v>1000</v>
      </c>
      <c r="F11" s="93">
        <v>28</v>
      </c>
      <c r="G11" s="94">
        <f t="shared" ref="G11:G19" si="1">F11*D11</f>
        <v>22400</v>
      </c>
      <c r="H11" s="94">
        <f t="shared" ref="H11:H19" si="2">F11*E11</f>
        <v>28000</v>
      </c>
      <c r="I11" s="94">
        <f t="shared" ref="I11:I19" si="3">H11-G11</f>
        <v>5600</v>
      </c>
      <c r="J11" s="93">
        <f t="shared" ref="J11:J19" si="4">((H11-G11)/G11)*100</f>
        <v>25</v>
      </c>
      <c r="K11" s="95" t="str">
        <f t="shared" ref="K11:K19" si="5">IF(J11&gt;=10,"HOLD",IF(J11&gt;=5,"BUY","SELL"))</f>
        <v>HOLD</v>
      </c>
    </row>
    <row r="12" spans="1:16" ht="15.6" x14ac:dyDescent="0.3">
      <c r="A12" s="92">
        <f t="shared" si="0"/>
        <v>11</v>
      </c>
      <c r="B12" s="93" t="s">
        <v>25</v>
      </c>
      <c r="C12" s="93" t="s">
        <v>23</v>
      </c>
      <c r="D12" s="94">
        <v>1100</v>
      </c>
      <c r="E12" s="94">
        <v>1250</v>
      </c>
      <c r="F12" s="93">
        <v>40</v>
      </c>
      <c r="G12" s="94">
        <f t="shared" si="1"/>
        <v>44000</v>
      </c>
      <c r="H12" s="94">
        <f t="shared" si="2"/>
        <v>50000</v>
      </c>
      <c r="I12" s="94">
        <f t="shared" si="3"/>
        <v>6000</v>
      </c>
      <c r="J12" s="93">
        <f t="shared" si="4"/>
        <v>13.636363636363635</v>
      </c>
      <c r="K12" s="95" t="str">
        <f t="shared" si="5"/>
        <v>HOLD</v>
      </c>
    </row>
    <row r="13" spans="1:16" ht="15.6" x14ac:dyDescent="0.3">
      <c r="A13" s="92">
        <f t="shared" si="0"/>
        <v>12</v>
      </c>
      <c r="B13" s="93" t="s">
        <v>30</v>
      </c>
      <c r="C13" s="93" t="s">
        <v>16</v>
      </c>
      <c r="D13" s="94">
        <v>520</v>
      </c>
      <c r="E13" s="94">
        <v>590</v>
      </c>
      <c r="F13" s="93">
        <v>80</v>
      </c>
      <c r="G13" s="94">
        <f t="shared" si="1"/>
        <v>41600</v>
      </c>
      <c r="H13" s="94">
        <f t="shared" si="2"/>
        <v>47200</v>
      </c>
      <c r="I13" s="94">
        <f t="shared" si="3"/>
        <v>5600</v>
      </c>
      <c r="J13" s="93">
        <f t="shared" si="4"/>
        <v>13.461538461538462</v>
      </c>
      <c r="K13" s="95" t="str">
        <f t="shared" si="5"/>
        <v>HOLD</v>
      </c>
    </row>
    <row r="14" spans="1:16" ht="15.6" x14ac:dyDescent="0.3">
      <c r="A14" s="92">
        <f t="shared" si="0"/>
        <v>13</v>
      </c>
      <c r="B14" s="93" t="s">
        <v>27</v>
      </c>
      <c r="C14" s="93" t="s">
        <v>28</v>
      </c>
      <c r="D14" s="94">
        <v>450</v>
      </c>
      <c r="E14" s="94">
        <v>510</v>
      </c>
      <c r="F14" s="93">
        <v>100</v>
      </c>
      <c r="G14" s="94">
        <f t="shared" si="1"/>
        <v>45000</v>
      </c>
      <c r="H14" s="94">
        <f t="shared" si="2"/>
        <v>51000</v>
      </c>
      <c r="I14" s="94">
        <f t="shared" si="3"/>
        <v>6000</v>
      </c>
      <c r="J14" s="93">
        <f t="shared" si="4"/>
        <v>13.333333333333334</v>
      </c>
      <c r="K14" s="95" t="str">
        <f t="shared" si="5"/>
        <v>HOLD</v>
      </c>
    </row>
    <row r="15" spans="1:16" ht="15.6" x14ac:dyDescent="0.3">
      <c r="A15" s="92">
        <f t="shared" si="0"/>
        <v>14</v>
      </c>
      <c r="B15" s="93" t="s">
        <v>32</v>
      </c>
      <c r="C15" s="93" t="s">
        <v>33</v>
      </c>
      <c r="D15" s="94">
        <v>1450</v>
      </c>
      <c r="E15" s="94">
        <v>1620</v>
      </c>
      <c r="F15" s="93">
        <v>28</v>
      </c>
      <c r="G15" s="94">
        <f t="shared" si="1"/>
        <v>40600</v>
      </c>
      <c r="H15" s="94">
        <f t="shared" si="2"/>
        <v>45360</v>
      </c>
      <c r="I15" s="94">
        <f t="shared" si="3"/>
        <v>4760</v>
      </c>
      <c r="J15" s="93">
        <f t="shared" si="4"/>
        <v>11.724137931034482</v>
      </c>
      <c r="K15" s="95" t="str">
        <f t="shared" si="5"/>
        <v>HOLD</v>
      </c>
    </row>
    <row r="16" spans="1:16" ht="15.6" x14ac:dyDescent="0.3">
      <c r="A16" s="92">
        <f t="shared" si="0"/>
        <v>15</v>
      </c>
      <c r="B16" s="93" t="s">
        <v>19</v>
      </c>
      <c r="C16" s="93" t="s">
        <v>16</v>
      </c>
      <c r="D16" s="94">
        <v>1450</v>
      </c>
      <c r="E16" s="94">
        <v>1600</v>
      </c>
      <c r="F16" s="93">
        <v>30</v>
      </c>
      <c r="G16" s="94">
        <f t="shared" si="1"/>
        <v>43500</v>
      </c>
      <c r="H16" s="94">
        <f t="shared" si="2"/>
        <v>48000</v>
      </c>
      <c r="I16" s="94">
        <f t="shared" si="3"/>
        <v>4500</v>
      </c>
      <c r="J16" s="93">
        <f t="shared" si="4"/>
        <v>10.344827586206897</v>
      </c>
      <c r="K16" s="95" t="str">
        <f t="shared" si="5"/>
        <v>HOLD</v>
      </c>
    </row>
    <row r="17" spans="1:11" ht="15.6" x14ac:dyDescent="0.3">
      <c r="A17" s="92">
        <f t="shared" si="0"/>
        <v>16</v>
      </c>
      <c r="B17" s="93" t="s">
        <v>22</v>
      </c>
      <c r="C17" s="93" t="s">
        <v>23</v>
      </c>
      <c r="D17" s="94">
        <v>1550</v>
      </c>
      <c r="E17" s="94">
        <v>1710</v>
      </c>
      <c r="F17" s="93">
        <v>25</v>
      </c>
      <c r="G17" s="94">
        <f t="shared" si="1"/>
        <v>38750</v>
      </c>
      <c r="H17" s="94">
        <f t="shared" si="2"/>
        <v>42750</v>
      </c>
      <c r="I17" s="94">
        <f t="shared" si="3"/>
        <v>4000</v>
      </c>
      <c r="J17" s="93">
        <f t="shared" si="4"/>
        <v>10.32258064516129</v>
      </c>
      <c r="K17" s="95" t="str">
        <f t="shared" si="5"/>
        <v>HOLD</v>
      </c>
    </row>
    <row r="18" spans="1:11" ht="15.6" x14ac:dyDescent="0.3">
      <c r="A18" s="92">
        <f t="shared" si="0"/>
        <v>17</v>
      </c>
      <c r="B18" s="93" t="s">
        <v>11</v>
      </c>
      <c r="C18" s="93" t="s">
        <v>12</v>
      </c>
      <c r="D18" s="94">
        <v>2500</v>
      </c>
      <c r="E18" s="94">
        <v>2740</v>
      </c>
      <c r="F18" s="93">
        <v>100</v>
      </c>
      <c r="G18" s="94">
        <f t="shared" si="1"/>
        <v>250000</v>
      </c>
      <c r="H18" s="94">
        <f t="shared" si="2"/>
        <v>274000</v>
      </c>
      <c r="I18" s="94">
        <f t="shared" si="3"/>
        <v>24000</v>
      </c>
      <c r="J18" s="93">
        <f t="shared" si="4"/>
        <v>9.6</v>
      </c>
      <c r="K18" s="95" t="str">
        <f t="shared" si="5"/>
        <v>BUY</v>
      </c>
    </row>
    <row r="19" spans="1:11" ht="15.6" x14ac:dyDescent="0.3">
      <c r="A19" s="96">
        <f t="shared" si="0"/>
        <v>18</v>
      </c>
      <c r="B19" s="97" t="s">
        <v>15</v>
      </c>
      <c r="C19" s="97" t="s">
        <v>16</v>
      </c>
      <c r="D19" s="98">
        <v>3800</v>
      </c>
      <c r="E19" s="98">
        <v>3650</v>
      </c>
      <c r="F19" s="97">
        <v>15</v>
      </c>
      <c r="G19" s="98">
        <f t="shared" si="1"/>
        <v>57000</v>
      </c>
      <c r="H19" s="98">
        <f t="shared" si="2"/>
        <v>54750</v>
      </c>
      <c r="I19" s="98">
        <f t="shared" si="3"/>
        <v>-2250</v>
      </c>
      <c r="J19" s="97">
        <f t="shared" si="4"/>
        <v>-3.9473684210526314</v>
      </c>
      <c r="K19" s="99" t="str">
        <f t="shared" si="5"/>
        <v>SELL</v>
      </c>
    </row>
    <row r="20" spans="1:11" ht="15.6" x14ac:dyDescent="0.3">
      <c r="A20" s="100"/>
      <c r="B20" s="101" t="s">
        <v>115</v>
      </c>
      <c r="C20" s="100"/>
      <c r="D20" s="102"/>
      <c r="E20" s="102"/>
      <c r="F20" s="100"/>
      <c r="G20" s="103">
        <f>SUM(Table1[Investment])</f>
        <v>582850</v>
      </c>
      <c r="H20" s="103">
        <f>SUM(Table1[Current Value])</f>
        <v>641060</v>
      </c>
      <c r="I20" s="103">
        <f>SUM(Table1[Profit/Loss])</f>
        <v>58210</v>
      </c>
      <c r="J20" s="9"/>
      <c r="K20" s="9"/>
    </row>
    <row r="22" spans="1:11" x14ac:dyDescent="0.3">
      <c r="D22" s="107" t="s">
        <v>121</v>
      </c>
      <c r="E22" s="107"/>
      <c r="F22" s="107"/>
      <c r="G22" s="107"/>
      <c r="H22" s="107"/>
    </row>
    <row r="23" spans="1:11" x14ac:dyDescent="0.3">
      <c r="D23" s="107"/>
      <c r="E23" s="107"/>
      <c r="F23" s="107"/>
      <c r="G23" s="107"/>
      <c r="H23" s="107"/>
    </row>
    <row r="24" spans="1:11" x14ac:dyDescent="0.3">
      <c r="D24" s="107"/>
      <c r="E24" s="107"/>
      <c r="F24" s="107"/>
      <c r="G24" s="107"/>
      <c r="H24" s="107"/>
    </row>
    <row r="25" spans="1:11" ht="21" x14ac:dyDescent="0.4">
      <c r="D25" s="104" t="s">
        <v>117</v>
      </c>
      <c r="E25" s="105"/>
      <c r="F25" s="106" t="s">
        <v>118</v>
      </c>
      <c r="G25" s="105"/>
      <c r="H25" s="104" t="s">
        <v>119</v>
      </c>
    </row>
    <row r="26" spans="1:11" x14ac:dyDescent="0.3">
      <c r="J26" s="14"/>
    </row>
    <row r="27" spans="1:11" ht="18" customHeight="1" x14ac:dyDescent="0.3"/>
    <row r="28" spans="1:11" ht="18" customHeight="1" x14ac:dyDescent="0.3"/>
    <row r="29" spans="1:11" ht="14.4" customHeight="1" x14ac:dyDescent="0.3"/>
    <row r="30" spans="1:11" ht="14.4" customHeight="1" x14ac:dyDescent="0.3"/>
  </sheetData>
  <mergeCells count="14">
    <mergeCell ref="D22:H24"/>
    <mergeCell ref="A7:D8"/>
    <mergeCell ref="E7:H8"/>
    <mergeCell ref="I7:L8"/>
    <mergeCell ref="M7:P8"/>
    <mergeCell ref="A9:D9"/>
    <mergeCell ref="E9:H9"/>
    <mergeCell ref="I9:L9"/>
    <mergeCell ref="M9:P9"/>
    <mergeCell ref="A1:P3"/>
    <mergeCell ref="A4:D6"/>
    <mergeCell ref="E4:H6"/>
    <mergeCell ref="I4:L6"/>
    <mergeCell ref="M4:P6"/>
  </mergeCells>
  <conditionalFormatting sqref="J11:J19">
    <cfRule type="colorScale" priority="5">
      <colorScale>
        <cfvo type="min"/>
        <cfvo type="percentile" val="50"/>
        <cfvo type="max"/>
        <color rgb="FFF8696B"/>
        <color rgb="FFFFEB84"/>
        <color rgb="FF63BE7B"/>
      </colorScale>
    </cfRule>
  </conditionalFormatting>
  <conditionalFormatting sqref="K11:K19">
    <cfRule type="cellIs" dxfId="250" priority="1" operator="equal">
      <formula>"Buy"</formula>
    </cfRule>
    <cfRule type="cellIs" dxfId="249" priority="2" operator="equal">
      <formula>"Sell"</formula>
    </cfRule>
    <cfRule type="cellIs" dxfId="248" priority="3" operator="equal">
      <formula>"Buy"</formula>
    </cfRule>
    <cfRule type="cellIs" dxfId="247" priority="4" operator="equal">
      <formula>"Hold"</formula>
    </cfRule>
  </conditionalFormatting>
  <hyperlinks>
    <hyperlink ref="D25" location="'Uncleaned Data'!A1" display="Uncleaned Data" xr:uid="{BB19EAF7-8517-4D6D-B0DA-82F21A0DF23E}"/>
    <hyperlink ref="F25" location="Dashboard!A1" display="Dashboard" xr:uid="{A4A1F637-A454-4FE3-9D9B-4D2BA9846A2D}"/>
    <hyperlink ref="H25" location="'Pivot Tables'!A1" display="Pivot Tables" xr:uid="{86BE009A-03FC-4007-AC0C-6B745EC99041}"/>
  </hyperlink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04DC3-269E-4AA2-8791-E82FB9D6DF1A}">
  <sheetPr codeName="Sheet3"/>
  <dimension ref="A1:X21"/>
  <sheetViews>
    <sheetView showGridLines="0" showRowColHeaders="0" workbookViewId="0">
      <selection activeCell="M1" sqref="M1"/>
    </sheetView>
  </sheetViews>
  <sheetFormatPr defaultRowHeight="14.4" x14ac:dyDescent="0.3"/>
  <cols>
    <col min="1" max="1" width="12" bestFit="1" customWidth="1"/>
    <col min="2" max="2" width="15.44140625" bestFit="1" customWidth="1"/>
    <col min="12" max="12" width="11.88671875" bestFit="1" customWidth="1"/>
    <col min="13" max="13" width="12" bestFit="1" customWidth="1"/>
    <col min="14" max="14" width="10.33203125" bestFit="1" customWidth="1"/>
    <col min="15" max="15" width="13.77734375" bestFit="1" customWidth="1"/>
    <col min="16" max="16" width="9.88671875" bestFit="1" customWidth="1"/>
    <col min="18" max="18" width="13.88671875" bestFit="1" customWidth="1"/>
    <col min="23" max="23" width="12.6640625" bestFit="1" customWidth="1"/>
  </cols>
  <sheetData>
    <row r="1" spans="1:24" ht="15.6" x14ac:dyDescent="0.3">
      <c r="A1" s="44" t="s">
        <v>120</v>
      </c>
      <c r="B1" s="45"/>
      <c r="C1" s="45"/>
      <c r="D1" s="45"/>
      <c r="E1" s="45"/>
      <c r="F1" s="45"/>
      <c r="G1" s="45"/>
      <c r="H1" s="45"/>
      <c r="I1" s="45"/>
      <c r="J1" s="45"/>
      <c r="K1" s="45"/>
      <c r="L1" s="45"/>
      <c r="N1" s="14"/>
      <c r="O1" s="14"/>
      <c r="P1" s="14"/>
      <c r="Q1" s="14"/>
      <c r="R1" s="14"/>
      <c r="S1" s="14"/>
      <c r="T1" s="14"/>
      <c r="U1" s="14"/>
      <c r="V1" s="14"/>
      <c r="W1" s="14"/>
      <c r="X1" s="14"/>
    </row>
    <row r="2" spans="1:24" ht="15.6" x14ac:dyDescent="0.3">
      <c r="A2" s="10" t="s">
        <v>49</v>
      </c>
      <c r="B2" s="10" t="s">
        <v>50</v>
      </c>
      <c r="C2" s="10" t="s">
        <v>51</v>
      </c>
      <c r="D2" s="10" t="s">
        <v>52</v>
      </c>
      <c r="E2" s="10" t="s">
        <v>53</v>
      </c>
      <c r="F2" s="10" t="s">
        <v>54</v>
      </c>
      <c r="G2" s="10" t="s">
        <v>55</v>
      </c>
      <c r="H2" s="10" t="s">
        <v>56</v>
      </c>
      <c r="I2" s="10" t="s">
        <v>57</v>
      </c>
      <c r="J2" s="10" t="s">
        <v>58</v>
      </c>
      <c r="K2" s="10" t="s">
        <v>59</v>
      </c>
      <c r="L2" s="11" t="s">
        <v>60</v>
      </c>
    </row>
    <row r="3" spans="1:24" ht="15.6" x14ac:dyDescent="0.3">
      <c r="A3" s="9" t="s">
        <v>61</v>
      </c>
      <c r="B3" s="9" t="s">
        <v>11</v>
      </c>
      <c r="C3" s="9" t="s">
        <v>12</v>
      </c>
      <c r="D3" s="9">
        <v>2500</v>
      </c>
      <c r="E3" s="9">
        <v>2720</v>
      </c>
      <c r="F3" s="9">
        <v>20</v>
      </c>
      <c r="G3" s="9">
        <v>50000</v>
      </c>
      <c r="H3" s="9">
        <v>54400</v>
      </c>
      <c r="I3" s="9">
        <v>4400</v>
      </c>
      <c r="J3" s="9">
        <v>8.8000000000000007</v>
      </c>
      <c r="K3" s="9" t="s">
        <v>13</v>
      </c>
      <c r="L3" s="9" t="s">
        <v>62</v>
      </c>
    </row>
    <row r="4" spans="1:24" ht="15.6" x14ac:dyDescent="0.3">
      <c r="A4" s="9" t="s">
        <v>63</v>
      </c>
      <c r="B4" s="9" t="s">
        <v>15</v>
      </c>
      <c r="C4" s="9" t="s">
        <v>16</v>
      </c>
      <c r="D4" s="9">
        <v>3800</v>
      </c>
      <c r="E4" s="9">
        <v>3650</v>
      </c>
      <c r="F4" s="9">
        <v>15</v>
      </c>
      <c r="G4" s="9">
        <v>57000</v>
      </c>
      <c r="H4" s="9">
        <v>54750</v>
      </c>
      <c r="I4" s="9">
        <v>-2250</v>
      </c>
      <c r="J4" s="9">
        <v>-3.95</v>
      </c>
      <c r="K4" s="9" t="s">
        <v>17</v>
      </c>
      <c r="L4" s="9"/>
    </row>
    <row r="5" spans="1:24" ht="15.6" x14ac:dyDescent="0.3">
      <c r="A5" s="9" t="s">
        <v>64</v>
      </c>
      <c r="B5" s="9" t="s">
        <v>65</v>
      </c>
      <c r="C5" s="9" t="s">
        <v>16</v>
      </c>
      <c r="D5" s="9">
        <v>1450</v>
      </c>
      <c r="E5" s="9">
        <v>1600</v>
      </c>
      <c r="F5" s="9">
        <v>30</v>
      </c>
      <c r="G5" s="9">
        <v>43500</v>
      </c>
      <c r="H5" s="9">
        <v>48000</v>
      </c>
      <c r="I5" s="9">
        <v>4500</v>
      </c>
      <c r="J5" s="9">
        <v>10.34</v>
      </c>
      <c r="K5" s="9" t="s">
        <v>66</v>
      </c>
      <c r="L5" s="9"/>
    </row>
    <row r="6" spans="1:24" ht="15.6" x14ac:dyDescent="0.3">
      <c r="A6" s="9" t="s">
        <v>67</v>
      </c>
      <c r="B6" s="9" t="s">
        <v>22</v>
      </c>
      <c r="C6" s="9" t="s">
        <v>68</v>
      </c>
      <c r="D6" s="9">
        <v>1550</v>
      </c>
      <c r="E6" s="9"/>
      <c r="F6" s="9">
        <v>25</v>
      </c>
      <c r="G6" s="9">
        <v>38750</v>
      </c>
      <c r="H6" s="9"/>
      <c r="I6" s="9"/>
      <c r="J6" s="9"/>
      <c r="K6" s="9" t="s">
        <v>20</v>
      </c>
      <c r="L6" s="9"/>
    </row>
    <row r="7" spans="1:24" ht="15.6" x14ac:dyDescent="0.3">
      <c r="A7" s="12" t="s">
        <v>61</v>
      </c>
      <c r="B7" s="12" t="s">
        <v>11</v>
      </c>
      <c r="C7" s="12" t="s">
        <v>12</v>
      </c>
      <c r="D7" s="12">
        <v>2500</v>
      </c>
      <c r="E7" s="12">
        <v>2720</v>
      </c>
      <c r="F7" s="12">
        <v>20</v>
      </c>
      <c r="G7" s="12">
        <v>50000</v>
      </c>
      <c r="H7" s="12">
        <v>54400</v>
      </c>
      <c r="I7" s="12">
        <v>4400</v>
      </c>
      <c r="J7" s="12">
        <v>8.8000000000000007</v>
      </c>
      <c r="K7" s="12" t="s">
        <v>13</v>
      </c>
      <c r="L7" s="12" t="s">
        <v>69</v>
      </c>
    </row>
    <row r="8" spans="1:24" ht="15.6" x14ac:dyDescent="0.3">
      <c r="A8" s="9" t="s">
        <v>24</v>
      </c>
      <c r="B8" s="9" t="s">
        <v>25</v>
      </c>
      <c r="C8" s="9" t="s">
        <v>23</v>
      </c>
      <c r="D8" s="9">
        <v>1100</v>
      </c>
      <c r="E8" s="9">
        <v>1250</v>
      </c>
      <c r="F8" s="9" t="s">
        <v>70</v>
      </c>
      <c r="G8" s="9">
        <v>44000</v>
      </c>
      <c r="H8" s="9">
        <v>50000</v>
      </c>
      <c r="I8" s="9">
        <v>6000</v>
      </c>
      <c r="J8" s="9">
        <v>13.64</v>
      </c>
      <c r="K8" s="9" t="s">
        <v>20</v>
      </c>
      <c r="L8" s="9"/>
    </row>
    <row r="9" spans="1:24" ht="15.6" x14ac:dyDescent="0.3">
      <c r="A9" s="9" t="s">
        <v>71</v>
      </c>
      <c r="B9" s="9" t="s">
        <v>27</v>
      </c>
      <c r="C9" s="9" t="s">
        <v>72</v>
      </c>
      <c r="D9" s="9">
        <v>450</v>
      </c>
      <c r="E9" s="9">
        <v>510</v>
      </c>
      <c r="F9" s="9">
        <v>100</v>
      </c>
      <c r="G9" s="9">
        <v>45000</v>
      </c>
      <c r="H9" s="9">
        <v>51000</v>
      </c>
      <c r="I9" s="9">
        <v>6000</v>
      </c>
      <c r="J9" s="9">
        <v>13.33</v>
      </c>
      <c r="K9" s="9" t="s">
        <v>73</v>
      </c>
      <c r="L9" s="9"/>
    </row>
    <row r="10" spans="1:24" ht="15.6" x14ac:dyDescent="0.3">
      <c r="A10" s="9" t="s">
        <v>74</v>
      </c>
      <c r="B10" s="9" t="s">
        <v>30</v>
      </c>
      <c r="C10" s="9" t="s">
        <v>16</v>
      </c>
      <c r="D10" s="9" t="s">
        <v>75</v>
      </c>
      <c r="E10" s="9">
        <v>590</v>
      </c>
      <c r="F10" s="9">
        <v>80</v>
      </c>
      <c r="G10" s="9">
        <v>41600</v>
      </c>
      <c r="H10" s="9">
        <v>47200</v>
      </c>
      <c r="I10" s="9">
        <v>5600</v>
      </c>
      <c r="J10" s="9">
        <v>13.46</v>
      </c>
      <c r="K10" s="9" t="s">
        <v>20</v>
      </c>
      <c r="L10" s="9"/>
    </row>
    <row r="11" spans="1:24" ht="15.6" x14ac:dyDescent="0.3">
      <c r="A11" s="9" t="s">
        <v>31</v>
      </c>
      <c r="B11" s="9" t="s">
        <v>32</v>
      </c>
      <c r="C11" s="9" t="s">
        <v>33</v>
      </c>
      <c r="D11" s="9">
        <v>1450</v>
      </c>
      <c r="E11" s="9">
        <v>1300</v>
      </c>
      <c r="F11" s="9">
        <v>28</v>
      </c>
      <c r="G11" s="9">
        <v>40600</v>
      </c>
      <c r="H11" s="9" t="s">
        <v>76</v>
      </c>
      <c r="I11" s="9" t="s">
        <v>76</v>
      </c>
      <c r="J11" s="9" t="s">
        <v>76</v>
      </c>
      <c r="K11" s="9" t="s">
        <v>20</v>
      </c>
      <c r="L11" s="9"/>
    </row>
    <row r="12" spans="1:24" ht="15.6" x14ac:dyDescent="0.3">
      <c r="A12" s="13"/>
      <c r="B12" s="13"/>
      <c r="C12" s="13"/>
      <c r="D12" s="13"/>
      <c r="E12" s="13"/>
      <c r="F12" s="13"/>
      <c r="G12" s="13"/>
      <c r="H12" s="13"/>
      <c r="I12" s="13"/>
      <c r="J12" s="13"/>
      <c r="K12" s="13"/>
      <c r="L12" s="13"/>
    </row>
    <row r="13" spans="1:24" ht="15.6" x14ac:dyDescent="0.3">
      <c r="A13" s="9" t="s">
        <v>77</v>
      </c>
      <c r="B13" s="9" t="s">
        <v>48</v>
      </c>
      <c r="C13" s="9" t="s">
        <v>78</v>
      </c>
      <c r="D13" s="9">
        <v>800</v>
      </c>
      <c r="E13" s="9">
        <v>1000</v>
      </c>
      <c r="F13" s="9">
        <v>28</v>
      </c>
      <c r="G13" s="9">
        <v>22400</v>
      </c>
      <c r="H13" s="9">
        <v>28000</v>
      </c>
      <c r="I13" s="9">
        <v>5600</v>
      </c>
      <c r="J13" s="9">
        <v>25</v>
      </c>
      <c r="K13" s="9" t="s">
        <v>20</v>
      </c>
      <c r="L13" s="9"/>
    </row>
    <row r="14" spans="1:24" ht="15.6" x14ac:dyDescent="0.3">
      <c r="A14" s="9" t="s">
        <v>79</v>
      </c>
      <c r="B14" s="9" t="s">
        <v>80</v>
      </c>
      <c r="C14" s="9" t="s">
        <v>23</v>
      </c>
      <c r="D14" s="9">
        <v>1100</v>
      </c>
      <c r="E14" s="9">
        <v>1180</v>
      </c>
      <c r="F14" s="9">
        <v>35</v>
      </c>
      <c r="G14" s="9">
        <v>38500</v>
      </c>
      <c r="H14" s="9">
        <v>41300</v>
      </c>
      <c r="I14" s="9">
        <v>2800</v>
      </c>
      <c r="J14" s="9" t="s">
        <v>81</v>
      </c>
      <c r="K14" s="9" t="s">
        <v>13</v>
      </c>
      <c r="L14" s="9"/>
    </row>
    <row r="15" spans="1:24" ht="15.6" x14ac:dyDescent="0.3">
      <c r="A15" s="9" t="s">
        <v>82</v>
      </c>
      <c r="B15" s="9" t="s">
        <v>83</v>
      </c>
      <c r="C15" s="9" t="s">
        <v>84</v>
      </c>
      <c r="D15" s="9">
        <v>2600</v>
      </c>
      <c r="E15" s="9">
        <v>2750</v>
      </c>
      <c r="F15" s="9">
        <v>18</v>
      </c>
      <c r="G15" s="9">
        <v>-46800</v>
      </c>
      <c r="H15" s="9">
        <v>49500</v>
      </c>
      <c r="I15" s="9">
        <v>2700</v>
      </c>
      <c r="J15" s="9">
        <v>5.77</v>
      </c>
      <c r="K15" s="9" t="s">
        <v>20</v>
      </c>
      <c r="L15" s="9" t="s">
        <v>85</v>
      </c>
    </row>
    <row r="16" spans="1:24" ht="15.6" x14ac:dyDescent="0.3">
      <c r="A16" s="9" t="s">
        <v>86</v>
      </c>
      <c r="B16" s="9" t="s">
        <v>87</v>
      </c>
      <c r="C16" s="9" t="s">
        <v>88</v>
      </c>
      <c r="D16" s="9">
        <v>6500</v>
      </c>
      <c r="E16" s="9">
        <v>7100</v>
      </c>
      <c r="F16" s="9">
        <v>10</v>
      </c>
      <c r="G16" s="9">
        <v>65000</v>
      </c>
      <c r="H16" s="9">
        <v>71000</v>
      </c>
      <c r="I16" s="9">
        <v>6000</v>
      </c>
      <c r="J16" s="9">
        <v>9.23</v>
      </c>
      <c r="K16" s="9" t="s">
        <v>13</v>
      </c>
      <c r="L16" s="9" t="s">
        <v>89</v>
      </c>
    </row>
    <row r="17" spans="1:12" ht="15.6" x14ac:dyDescent="0.3">
      <c r="A17" s="9" t="s">
        <v>90</v>
      </c>
      <c r="B17" s="9" t="s">
        <v>91</v>
      </c>
      <c r="C17" s="9" t="s">
        <v>92</v>
      </c>
      <c r="D17" s="9" t="s">
        <v>93</v>
      </c>
      <c r="E17" s="9">
        <v>11200</v>
      </c>
      <c r="F17" s="9">
        <v>5</v>
      </c>
      <c r="G17" s="9">
        <v>52500</v>
      </c>
      <c r="H17" s="9">
        <v>56000</v>
      </c>
      <c r="I17" s="9">
        <v>3500</v>
      </c>
      <c r="J17" s="9">
        <v>6.67</v>
      </c>
      <c r="K17" s="9" t="s">
        <v>20</v>
      </c>
      <c r="L17" s="9"/>
    </row>
    <row r="18" spans="1:12" ht="15.6" x14ac:dyDescent="0.3">
      <c r="A18" s="9" t="s">
        <v>94</v>
      </c>
      <c r="B18" s="9" t="s">
        <v>95</v>
      </c>
      <c r="C18" s="9" t="s">
        <v>12</v>
      </c>
      <c r="D18" s="9">
        <v>250</v>
      </c>
      <c r="E18" s="9">
        <v>290</v>
      </c>
      <c r="F18" s="9">
        <v>120</v>
      </c>
      <c r="G18" s="9">
        <v>30000</v>
      </c>
      <c r="H18" s="9">
        <v>34800</v>
      </c>
      <c r="I18" s="9">
        <v>4800</v>
      </c>
      <c r="J18" s="9">
        <v>999</v>
      </c>
      <c r="K18" s="9" t="s">
        <v>13</v>
      </c>
      <c r="L18" s="9" t="s">
        <v>96</v>
      </c>
    </row>
    <row r="19" spans="1:12" ht="15.6" x14ac:dyDescent="0.3">
      <c r="A19" s="9" t="s">
        <v>97</v>
      </c>
      <c r="B19" s="9" t="s">
        <v>98</v>
      </c>
      <c r="C19" s="9" t="s">
        <v>28</v>
      </c>
      <c r="D19" s="9">
        <v>22000</v>
      </c>
      <c r="E19" s="9">
        <v>23500</v>
      </c>
      <c r="F19" s="9">
        <v>3</v>
      </c>
      <c r="G19" s="9">
        <v>66000</v>
      </c>
      <c r="H19" s="9">
        <v>70500</v>
      </c>
      <c r="I19" s="9">
        <v>4500</v>
      </c>
      <c r="J19" s="9">
        <v>6.82</v>
      </c>
      <c r="K19" s="9" t="s">
        <v>99</v>
      </c>
      <c r="L19" s="9"/>
    </row>
    <row r="20" spans="1:12" ht="15.6" x14ac:dyDescent="0.3">
      <c r="A20" s="9">
        <v>45678</v>
      </c>
      <c r="B20" s="9" t="s">
        <v>100</v>
      </c>
      <c r="C20" s="9" t="s">
        <v>101</v>
      </c>
      <c r="D20" s="9">
        <v>280</v>
      </c>
      <c r="E20" s="9">
        <v>310</v>
      </c>
      <c r="F20" s="9">
        <v>90</v>
      </c>
      <c r="G20" s="9">
        <v>25200</v>
      </c>
      <c r="H20" s="9">
        <v>27900</v>
      </c>
      <c r="I20" s="9">
        <v>2700</v>
      </c>
      <c r="J20" s="9">
        <v>10.71</v>
      </c>
      <c r="K20" s="9" t="s">
        <v>20</v>
      </c>
      <c r="L20" s="9"/>
    </row>
    <row r="21" spans="1:12" ht="15.6" x14ac:dyDescent="0.3">
      <c r="A21" s="9" t="s">
        <v>102</v>
      </c>
      <c r="B21" s="9" t="s">
        <v>103</v>
      </c>
      <c r="C21" s="9" t="s">
        <v>76</v>
      </c>
      <c r="D21" s="9">
        <v>0</v>
      </c>
      <c r="E21" s="9">
        <v>0</v>
      </c>
      <c r="F21" s="9">
        <v>0</v>
      </c>
      <c r="G21" s="9">
        <v>0</v>
      </c>
      <c r="H21" s="9">
        <v>0</v>
      </c>
      <c r="I21" s="9">
        <v>0</v>
      </c>
      <c r="J21" s="9">
        <v>0</v>
      </c>
      <c r="K21" s="9"/>
      <c r="L21" s="9"/>
    </row>
  </sheetData>
  <mergeCells count="1">
    <mergeCell ref="A1:L1"/>
  </mergeCells>
  <conditionalFormatting sqref="L1:L1048576">
    <cfRule type="containsText" dxfId="246" priority="1" operator="containsText" text="Missing">
      <formula>NOT(ISERROR(SEARCH("Missing",L1)))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EE2EE-452A-46AD-9E38-B0C228DCD814}">
  <sheetPr codeName="Sheet4"/>
  <dimension ref="A1:K17"/>
  <sheetViews>
    <sheetView showGridLines="0" showRowColHeaders="0" workbookViewId="0">
      <selection activeCell="G29" sqref="G29"/>
    </sheetView>
  </sheetViews>
  <sheetFormatPr defaultRowHeight="14.4" x14ac:dyDescent="0.3"/>
  <cols>
    <col min="1" max="1" width="10.6640625" bestFit="1" customWidth="1"/>
    <col min="2" max="2" width="13.77734375" bestFit="1" customWidth="1"/>
    <col min="3" max="3" width="9.88671875" bestFit="1" customWidth="1"/>
    <col min="4" max="4" width="12.5546875" bestFit="1" customWidth="1"/>
    <col min="5" max="5" width="13.88671875" bestFit="1" customWidth="1"/>
    <col min="6" max="6" width="4.77734375" bestFit="1" customWidth="1"/>
    <col min="7" max="7" width="11.44140625" bestFit="1" customWidth="1"/>
    <col min="8" max="8" width="10.77734375" bestFit="1" customWidth="1"/>
    <col min="9" max="9" width="10.21875" customWidth="1"/>
    <col min="10" max="10" width="12.6640625" bestFit="1" customWidth="1"/>
    <col min="11" max="11" width="16.88671875" bestFit="1" customWidth="1"/>
  </cols>
  <sheetData>
    <row r="1" spans="1:11" ht="15.6" x14ac:dyDescent="0.3">
      <c r="A1" s="16" t="s">
        <v>104</v>
      </c>
      <c r="B1" s="16" t="s">
        <v>105</v>
      </c>
      <c r="C1" s="16" t="s">
        <v>51</v>
      </c>
      <c r="D1" s="16" t="s">
        <v>52</v>
      </c>
      <c r="E1" s="16" t="s">
        <v>53</v>
      </c>
      <c r="F1" s="16" t="s">
        <v>54</v>
      </c>
      <c r="G1" s="16" t="s">
        <v>55</v>
      </c>
      <c r="H1" s="16" t="s">
        <v>56</v>
      </c>
      <c r="I1" s="16" t="s">
        <v>57</v>
      </c>
      <c r="J1" s="16" t="s">
        <v>58</v>
      </c>
      <c r="K1" s="16" t="s">
        <v>114</v>
      </c>
    </row>
    <row r="2" spans="1:11" x14ac:dyDescent="0.3">
      <c r="A2" s="15">
        <f>IFERROR(DATEVALUE('Uncleaned Data 1'!A3),"Invalid Date")</f>
        <v>45658</v>
      </c>
      <c r="B2" s="1" t="str">
        <f>PROPER(TRIM('Uncleaned Data 1'!B3))</f>
        <v>Reliance</v>
      </c>
      <c r="C2" s="1" t="str">
        <f>PROPER(TRIM('Uncleaned Data 1'!C3))</f>
        <v>Energy</v>
      </c>
      <c r="D2" s="1">
        <f>IF(COUNTBLANK('Uncleaned Data 1'!D3)=0,'Uncleaned Data 1'!D3,"None")</f>
        <v>2500</v>
      </c>
      <c r="E2" s="1">
        <f>IFERROR(VALUE('Uncleaned Data 1'!E3),0)</f>
        <v>2720</v>
      </c>
      <c r="F2" s="1">
        <f>VALUE('Uncleaned Data 1'!F3)</f>
        <v>20</v>
      </c>
      <c r="G2" s="1">
        <f>'Uncleaned Data 1'!D3*'Uncleaned Data 1'!F3</f>
        <v>50000</v>
      </c>
      <c r="H2" s="1">
        <f>'Uncleaned Data 1'!E3*'Uncleaned Data 1'!F3</f>
        <v>54400</v>
      </c>
      <c r="I2" s="1">
        <f>'Uncleaned Data 1'!H3-'Uncleaned Data 1'!G3</f>
        <v>4400</v>
      </c>
      <c r="J2" s="1">
        <f>(('Uncleaned Data 1'!H3-'Uncleaned Data 1'!G3)/'Uncleaned Data 1'!G3)*100</f>
        <v>8.7999999999999989</v>
      </c>
      <c r="K2" s="1" t="str">
        <f>IF('Uncleaned Data 1'!J3&gt;10,"BUY",IF('Uncleaned Data 1'!J3&gt;5,"HOLD","SELL"))</f>
        <v>HOLD</v>
      </c>
    </row>
    <row r="3" spans="1:11" x14ac:dyDescent="0.3">
      <c r="A3" s="15" t="str">
        <f>IFERROR(DATEVALUE('Uncleaned Data 1'!A4),"Invalid Date")</f>
        <v>Invalid Date</v>
      </c>
      <c r="B3" s="1" t="str">
        <f>PROPER(TRIM('Uncleaned Data 1'!B4))</f>
        <v>Tcs</v>
      </c>
      <c r="C3" s="1" t="str">
        <f>PROPER(TRIM('Uncleaned Data 1'!C4))</f>
        <v>It</v>
      </c>
      <c r="D3" s="1">
        <f>IF(COUNTBLANK('Uncleaned Data 1'!D4)=0,'Uncleaned Data 1'!D4,"None")</f>
        <v>3800</v>
      </c>
      <c r="E3" s="1">
        <f>IFERROR(VALUE('Uncleaned Data 1'!E4),0)</f>
        <v>3650</v>
      </c>
      <c r="F3" s="1">
        <f>VALUE('Uncleaned Data 1'!F4)</f>
        <v>15</v>
      </c>
      <c r="G3" s="1">
        <f>'Uncleaned Data 1'!D4*'Uncleaned Data 1'!F4</f>
        <v>57000</v>
      </c>
      <c r="H3" s="1">
        <f>'Uncleaned Data 1'!E4*'Uncleaned Data 1'!F4</f>
        <v>54750</v>
      </c>
      <c r="I3" s="1">
        <f>'Uncleaned Data 1'!H4-'Uncleaned Data 1'!G4</f>
        <v>-2250</v>
      </c>
      <c r="J3" s="1">
        <f>(('Uncleaned Data 1'!H4-'Uncleaned Data 1'!G4)/'Uncleaned Data 1'!G4)*100</f>
        <v>-3.9473684210526314</v>
      </c>
      <c r="K3" s="1" t="str">
        <f>IF('Uncleaned Data 1'!J4&gt;10,"BUY",IF('Uncleaned Data 1'!J4&gt;5,"HOLD","SELL"))</f>
        <v>SELL</v>
      </c>
    </row>
    <row r="4" spans="1:11" x14ac:dyDescent="0.3">
      <c r="A4" s="15">
        <f>IFERROR(DATEVALUE('Uncleaned Data 1'!A5),"Invalid Date")</f>
        <v>45660</v>
      </c>
      <c r="B4" s="1" t="str">
        <f>PROPER(TRIM('Uncleaned Data 1'!B5))</f>
        <v>Infosys</v>
      </c>
      <c r="C4" s="1" t="str">
        <f>PROPER(TRIM('Uncleaned Data 1'!C5))</f>
        <v>It</v>
      </c>
      <c r="D4" s="1">
        <f>IF(COUNTBLANK('Uncleaned Data 1'!D5)=0,'Uncleaned Data 1'!D5,"None")</f>
        <v>1450</v>
      </c>
      <c r="E4" s="1">
        <f>IFERROR(VALUE('Uncleaned Data 1'!E5),0)</f>
        <v>1600</v>
      </c>
      <c r="F4" s="1">
        <f>VALUE('Uncleaned Data 1'!F5)</f>
        <v>30</v>
      </c>
      <c r="G4" s="1">
        <f>'Uncleaned Data 1'!D5*'Uncleaned Data 1'!F5</f>
        <v>43500</v>
      </c>
      <c r="H4" s="1">
        <f>'Uncleaned Data 1'!E5*'Uncleaned Data 1'!F5</f>
        <v>48000</v>
      </c>
      <c r="I4" s="1">
        <f>'Uncleaned Data 1'!H5-'Uncleaned Data 1'!G5</f>
        <v>4500</v>
      </c>
      <c r="J4" s="1">
        <f>(('Uncleaned Data 1'!H5-'Uncleaned Data 1'!G5)/'Uncleaned Data 1'!G5)*100</f>
        <v>10.344827586206897</v>
      </c>
      <c r="K4" s="1" t="str">
        <f>IF('Uncleaned Data 1'!J5&gt;10,"BUY",IF('Uncleaned Data 1'!J5&gt;5,"HOLD","SELL"))</f>
        <v>BUY</v>
      </c>
    </row>
    <row r="5" spans="1:11" x14ac:dyDescent="0.3">
      <c r="A5" s="15">
        <f>IFERROR(DATEVALUE('Uncleaned Data 1'!A7),"Invalid Date")</f>
        <v>45658</v>
      </c>
      <c r="B5" s="1" t="str">
        <f>PROPER(TRIM('Uncleaned Data 1'!B7))</f>
        <v>Reliance</v>
      </c>
      <c r="C5" s="1" t="str">
        <f>PROPER(TRIM('Uncleaned Data 1'!C7))</f>
        <v>Energy</v>
      </c>
      <c r="D5" s="1">
        <f>IF(COUNTBLANK('Uncleaned Data 1'!D7)=0,'Uncleaned Data 1'!D7,"None")</f>
        <v>2500</v>
      </c>
      <c r="E5" s="1">
        <f>IFERROR(VALUE('Uncleaned Data 1'!E7),0)</f>
        <v>2720</v>
      </c>
      <c r="F5" s="1">
        <f>VALUE('Uncleaned Data 1'!F7)</f>
        <v>20</v>
      </c>
      <c r="G5" s="1">
        <f>'Uncleaned Data 1'!D7*'Uncleaned Data 1'!F7</f>
        <v>50000</v>
      </c>
      <c r="H5" s="1">
        <f>'Uncleaned Data 1'!E7*'Uncleaned Data 1'!F7</f>
        <v>54400</v>
      </c>
      <c r="I5" s="1">
        <f>'Uncleaned Data 1'!H6-'Uncleaned Data 1'!G6</f>
        <v>-38750</v>
      </c>
      <c r="J5" s="1">
        <f>(('Uncleaned Data 1'!H7-'Uncleaned Data 1'!G7)/'Uncleaned Data 1'!G7)*100</f>
        <v>8.7999999999999989</v>
      </c>
      <c r="K5" s="1" t="str">
        <f>IF('Uncleaned Data 1'!J7&gt;10,"BUY",IF('Uncleaned Data 1'!J7&gt;5,"HOLD","SELL"))</f>
        <v>HOLD</v>
      </c>
    </row>
    <row r="6" spans="1:11" x14ac:dyDescent="0.3">
      <c r="A6" s="15">
        <f>IFERROR(DATEVALUE('Uncleaned Data 1'!A8),"Invalid Date")</f>
        <v>45662</v>
      </c>
      <c r="B6" s="1" t="str">
        <f>PROPER(TRIM('Uncleaned Data 1'!B8))</f>
        <v>Icici Bank</v>
      </c>
      <c r="C6" s="1" t="str">
        <f>PROPER(TRIM('Uncleaned Data 1'!C8))</f>
        <v>Banking</v>
      </c>
      <c r="D6" s="1">
        <f>IF(COUNTBLANK('Uncleaned Data 1'!D8)=0,'Uncleaned Data 1'!D8,"None")</f>
        <v>1100</v>
      </c>
      <c r="E6" s="1">
        <f>IFERROR(VALUE('Uncleaned Data 1'!E8),0)</f>
        <v>1250</v>
      </c>
      <c r="F6" s="1">
        <f>VALUE('Uncleaned Data 1'!F8)</f>
        <v>40</v>
      </c>
      <c r="G6" s="1">
        <f>'Uncleaned Data 1'!D8*'Uncleaned Data 1'!F8</f>
        <v>44000</v>
      </c>
      <c r="H6" s="1">
        <f>'Uncleaned Data 1'!E8*'Uncleaned Data 1'!F8</f>
        <v>50000</v>
      </c>
      <c r="I6" s="1">
        <f>'Uncleaned Data 1'!H7-'Uncleaned Data 1'!G7</f>
        <v>4400</v>
      </c>
      <c r="J6" s="1">
        <f>(('Uncleaned Data 1'!H8-'Uncleaned Data 1'!G8)/'Uncleaned Data 1'!G8)*100</f>
        <v>13.636363636363635</v>
      </c>
      <c r="K6" s="1" t="str">
        <f>IF('Uncleaned Data 1'!J8&gt;10,"BUY",IF('Uncleaned Data 1'!J8&gt;5,"HOLD","SELL"))</f>
        <v>BUY</v>
      </c>
    </row>
    <row r="7" spans="1:11" x14ac:dyDescent="0.3">
      <c r="A7" s="15">
        <f>IFERROR(DATEVALUE('Uncleaned Data 1'!A9),"Invalid Date")</f>
        <v>45663</v>
      </c>
      <c r="B7" s="1" t="str">
        <f>PROPER(TRIM('Uncleaned Data 1'!B9))</f>
        <v>Itc</v>
      </c>
      <c r="C7" s="1" t="str">
        <f>PROPER(TRIM('Uncleaned Data 1'!C9))</f>
        <v>Fmcg</v>
      </c>
      <c r="D7" s="1">
        <f>IF(COUNTBLANK('Uncleaned Data 1'!D9)=0,'Uncleaned Data 1'!D9,"None")</f>
        <v>450</v>
      </c>
      <c r="E7" s="1">
        <f>IFERROR(VALUE('Uncleaned Data 1'!E9),0)</f>
        <v>510</v>
      </c>
      <c r="F7" s="1">
        <f>VALUE('Uncleaned Data 1'!F9)</f>
        <v>100</v>
      </c>
      <c r="G7" s="1">
        <f>'Uncleaned Data 1'!D9*'Uncleaned Data 1'!F9</f>
        <v>45000</v>
      </c>
      <c r="H7" s="1">
        <f>'Uncleaned Data 1'!E9*'Uncleaned Data 1'!F9</f>
        <v>51000</v>
      </c>
      <c r="I7" s="1">
        <f>'Uncleaned Data 1'!H8-'Uncleaned Data 1'!G8</f>
        <v>6000</v>
      </c>
      <c r="J7" s="1">
        <f>(('Uncleaned Data 1'!H9-'Uncleaned Data 1'!G9)/'Uncleaned Data 1'!G9)*100</f>
        <v>13.333333333333334</v>
      </c>
      <c r="K7" s="1" t="str">
        <f>IF('Uncleaned Data 1'!J9&gt;10,"BUY",IF('Uncleaned Data 1'!J9&gt;5,"HOLD","SELL"))</f>
        <v>BUY</v>
      </c>
    </row>
    <row r="8" spans="1:11" x14ac:dyDescent="0.3">
      <c r="A8" s="15">
        <f>IFERROR(DATEVALUE('Uncleaned Data 1'!A10),"Invalid Date")</f>
        <v>45664</v>
      </c>
      <c r="B8" s="1" t="str">
        <f>PROPER(TRIM('Uncleaned Data 1'!B10))</f>
        <v>Wipro</v>
      </c>
      <c r="C8" s="1" t="str">
        <f>PROPER(TRIM('Uncleaned Data 1'!C10))</f>
        <v>It</v>
      </c>
      <c r="D8" s="1" t="str">
        <f>IF(COUNTBLANK('Uncleaned Data 1'!D10)=0,'Uncleaned Data 1'!D10,"None")</f>
        <v>520</v>
      </c>
      <c r="E8" s="1">
        <f>IFERROR(VALUE('Uncleaned Data 1'!E10),0)</f>
        <v>590</v>
      </c>
      <c r="F8" s="1">
        <f>VALUE('Uncleaned Data 1'!F10)</f>
        <v>80</v>
      </c>
      <c r="G8" s="1">
        <f>'Uncleaned Data 1'!D10*'Uncleaned Data 1'!F10</f>
        <v>41600</v>
      </c>
      <c r="H8" s="1">
        <f>'Uncleaned Data 1'!E10*'Uncleaned Data 1'!F10</f>
        <v>47200</v>
      </c>
      <c r="I8" s="1">
        <f>'Uncleaned Data 1'!H9-'Uncleaned Data 1'!G9</f>
        <v>6000</v>
      </c>
      <c r="J8" s="1">
        <f>(('Uncleaned Data 1'!H10-'Uncleaned Data 1'!G10)/'Uncleaned Data 1'!G10)*100</f>
        <v>13.461538461538462</v>
      </c>
      <c r="K8" s="1" t="str">
        <f>IF('Uncleaned Data 1'!J10&gt;10,"BUY",IF('Uncleaned Data 1'!J10&gt;5,"HOLD","SELL"))</f>
        <v>BUY</v>
      </c>
    </row>
    <row r="9" spans="1:11" x14ac:dyDescent="0.3">
      <c r="A9" s="15">
        <f>IFERROR(DATEVALUE('Uncleaned Data 1'!A11),"Invalid Date")</f>
        <v>45665</v>
      </c>
      <c r="B9" s="1" t="str">
        <f>PROPER(TRIM('Uncleaned Data 1'!B11))</f>
        <v>Sun Pharma</v>
      </c>
      <c r="C9" s="1" t="str">
        <f>PROPER(TRIM('Uncleaned Data 1'!C11))</f>
        <v>Healthcare</v>
      </c>
      <c r="D9" s="1">
        <f>IF(COUNTBLANK('Uncleaned Data 1'!D11)=0,'Uncleaned Data 1'!D11,"None")</f>
        <v>1450</v>
      </c>
      <c r="E9" s="1">
        <f>IFERROR(VALUE('Uncleaned Data 1'!E11),0)</f>
        <v>1300</v>
      </c>
      <c r="F9" s="1">
        <f>VALUE('Uncleaned Data 1'!F11)</f>
        <v>28</v>
      </c>
      <c r="G9" s="1">
        <f>'Uncleaned Data 1'!D11*'Uncleaned Data 1'!F11</f>
        <v>40600</v>
      </c>
      <c r="H9" s="1">
        <f>'Uncleaned Data 1'!E11*'Uncleaned Data 1'!F11</f>
        <v>36400</v>
      </c>
      <c r="I9" s="1">
        <f>'Uncleaned Data 1'!H10-'Uncleaned Data 1'!G10</f>
        <v>5600</v>
      </c>
      <c r="J9" s="1">
        <v>15</v>
      </c>
      <c r="K9" s="1" t="str">
        <f>IF('Uncleaned Data 1'!J11&gt;10,"BUY",IF('Uncleaned Data 1'!J11&gt;5,"HOLD","SELL"))</f>
        <v>BUY</v>
      </c>
    </row>
    <row r="10" spans="1:11" x14ac:dyDescent="0.3">
      <c r="A10" s="15">
        <f>IFERROR(DATEVALUE('Uncleaned Data 1'!A13),"Invalid Date")</f>
        <v>45666</v>
      </c>
      <c r="B10" s="1" t="str">
        <f>PROPER(TRIM('Uncleaned Data 1'!B13))</f>
        <v>Sbi</v>
      </c>
      <c r="C10" s="1" t="str">
        <f>PROPER(TRIM('Uncleaned Data 1'!C13))</f>
        <v>Banking</v>
      </c>
      <c r="D10" s="1">
        <f>IF(COUNTBLANK('Uncleaned Data 1'!D13)=0,'Uncleaned Data 1'!D13,"None")</f>
        <v>800</v>
      </c>
      <c r="E10" s="1">
        <f>IFERROR(VALUE('Uncleaned Data 1'!E13),0)</f>
        <v>1000</v>
      </c>
      <c r="F10" s="1">
        <f>VALUE('Uncleaned Data 1'!F13)</f>
        <v>28</v>
      </c>
      <c r="G10" s="1">
        <f>'Uncleaned Data 1'!D13*'Uncleaned Data 1'!F13</f>
        <v>22400</v>
      </c>
      <c r="H10" s="1">
        <f>'Uncleaned Data 1'!E13*'Uncleaned Data 1'!F13</f>
        <v>28000</v>
      </c>
      <c r="I10" s="1">
        <v>5000</v>
      </c>
      <c r="J10" s="1">
        <f>(('Uncleaned Data 1'!H13-'Uncleaned Data 1'!G13)/'Uncleaned Data 1'!G13)*100</f>
        <v>25</v>
      </c>
      <c r="K10" s="1" t="str">
        <f>IF('Uncleaned Data 1'!J13&gt;10,"BUY",IF('Uncleaned Data 1'!J13&gt;5,"HOLD","SELL"))</f>
        <v>BUY</v>
      </c>
    </row>
    <row r="11" spans="1:11" x14ac:dyDescent="0.3">
      <c r="A11" s="15">
        <f>IFERROR(DATEVALUE('Uncleaned Data 1'!A14),"Invalid Date")</f>
        <v>45667</v>
      </c>
      <c r="B11" s="1" t="str">
        <f>PROPER(TRIM('Uncleaned Data 1'!B14))</f>
        <v>Axis Bank</v>
      </c>
      <c r="C11" s="1" t="str">
        <f>PROPER(TRIM('Uncleaned Data 1'!C14))</f>
        <v>Banking</v>
      </c>
      <c r="D11" s="1">
        <f>IF(COUNTBLANK('Uncleaned Data 1'!D14)=0,'Uncleaned Data 1'!D14,"None")</f>
        <v>1100</v>
      </c>
      <c r="E11" s="1">
        <f>IFERROR(VALUE('Uncleaned Data 1'!E14),0)</f>
        <v>1180</v>
      </c>
      <c r="F11" s="1">
        <f>VALUE('Uncleaned Data 1'!F14)</f>
        <v>35</v>
      </c>
      <c r="G11" s="1">
        <f>'Uncleaned Data 1'!D14*'Uncleaned Data 1'!F14</f>
        <v>38500</v>
      </c>
      <c r="H11" s="1">
        <f>'Uncleaned Data 1'!E14*'Uncleaned Data 1'!F14</f>
        <v>41300</v>
      </c>
      <c r="I11" s="1">
        <v>2555</v>
      </c>
      <c r="J11" s="1">
        <f>(('Uncleaned Data 1'!H14-'Uncleaned Data 1'!G14)/'Uncleaned Data 1'!G14)*100</f>
        <v>7.2727272727272725</v>
      </c>
      <c r="K11" s="1" t="str">
        <f>IF('Uncleaned Data 1'!J14&gt;10,"BUY",IF('Uncleaned Data 1'!J14&gt;5,"HOLD","SELL"))</f>
        <v>BUY</v>
      </c>
    </row>
    <row r="12" spans="1:11" x14ac:dyDescent="0.3">
      <c r="A12" s="15">
        <f>IFERROR(DATEVALUE('Uncleaned Data 1'!A15),"Invalid Date")</f>
        <v>45668</v>
      </c>
      <c r="B12" s="1" t="str">
        <f>PROPER(TRIM('Uncleaned Data 1'!B15))</f>
        <v>Hul</v>
      </c>
      <c r="C12" s="1" t="str">
        <f>PROPER(TRIM('Uncleaned Data 1'!C15))</f>
        <v>Fmcg</v>
      </c>
      <c r="D12" s="1">
        <f>IF(COUNTBLANK('Uncleaned Data 1'!D15)=0,'Uncleaned Data 1'!D15,"None")</f>
        <v>2600</v>
      </c>
      <c r="E12" s="1">
        <f>IFERROR(VALUE('Uncleaned Data 1'!E15),0)</f>
        <v>2750</v>
      </c>
      <c r="F12" s="1">
        <f>VALUE('Uncleaned Data 1'!F15)</f>
        <v>18</v>
      </c>
      <c r="G12" s="1">
        <f>'Uncleaned Data 1'!D15*'Uncleaned Data 1'!F15</f>
        <v>46800</v>
      </c>
      <c r="H12" s="1">
        <f>'Uncleaned Data 1'!E15*'Uncleaned Data 1'!F15</f>
        <v>49500</v>
      </c>
      <c r="I12" s="1">
        <f>'Uncleaned Data 1'!H13-'Uncleaned Data 1'!G13</f>
        <v>5600</v>
      </c>
      <c r="J12" s="1">
        <f>(('Uncleaned Data 1'!H15-'Uncleaned Data 1'!G15)/'Uncleaned Data 1'!G15)*100</f>
        <v>-205.76923076923075</v>
      </c>
      <c r="K12" s="1" t="str">
        <f>IF('Uncleaned Data 1'!J15&gt;10,"BUY",IF('Uncleaned Data 1'!J15&gt;5,"HOLD","SELL"))</f>
        <v>HOLD</v>
      </c>
    </row>
    <row r="13" spans="1:11" x14ac:dyDescent="0.3">
      <c r="A13" s="15">
        <f>IFERROR(DATEVALUE('Uncleaned Data 1'!A16),"Invalid Date")</f>
        <v>45669</v>
      </c>
      <c r="B13" s="1" t="str">
        <f>PROPER(TRIM('Uncleaned Data 1'!B16))</f>
        <v>Bajaj Finance</v>
      </c>
      <c r="C13" s="1" t="str">
        <f>PROPER(TRIM('Uncleaned Data 1'!C16))</f>
        <v>Finance</v>
      </c>
      <c r="D13" s="1">
        <f>IF(COUNTBLANK('Uncleaned Data 1'!D16)=0,'Uncleaned Data 1'!D16,"None")</f>
        <v>6500</v>
      </c>
      <c r="E13" s="1">
        <f>IFERROR(VALUE('Uncleaned Data 1'!E16),0)</f>
        <v>7100</v>
      </c>
      <c r="F13" s="1">
        <f>VALUE('Uncleaned Data 1'!F16)</f>
        <v>10</v>
      </c>
      <c r="G13" s="1">
        <f>'Uncleaned Data 1'!D16*'Uncleaned Data 1'!F16</f>
        <v>65000</v>
      </c>
      <c r="H13" s="1">
        <f>'Uncleaned Data 1'!E16*'Uncleaned Data 1'!F16</f>
        <v>71000</v>
      </c>
      <c r="I13" s="1">
        <f>'Uncleaned Data 1'!H14-'Uncleaned Data 1'!G14</f>
        <v>2800</v>
      </c>
      <c r="J13" s="1">
        <f>(('Uncleaned Data 1'!H16-'Uncleaned Data 1'!G16)/'Uncleaned Data 1'!G16)*100</f>
        <v>9.2307692307692317</v>
      </c>
      <c r="K13" s="1" t="str">
        <f>IF('Uncleaned Data 1'!J16&gt;10,"BUY",IF('Uncleaned Data 1'!J16&gt;5,"HOLD","SELL"))</f>
        <v>HOLD</v>
      </c>
    </row>
    <row r="14" spans="1:11" x14ac:dyDescent="0.3">
      <c r="A14" s="15">
        <f>IFERROR(DATEVALUE('Uncleaned Data 1'!A17),"Invalid Date")</f>
        <v>45670</v>
      </c>
      <c r="B14" s="1" t="str">
        <f>PROPER(TRIM('Uncleaned Data 1'!B17))</f>
        <v>Maruti</v>
      </c>
      <c r="C14" s="1" t="str">
        <f>PROPER(TRIM('Uncleaned Data 1'!C17))</f>
        <v>Auto</v>
      </c>
      <c r="D14" s="1" t="str">
        <f>IF(COUNTBLANK('Uncleaned Data 1'!D17)=0,'Uncleaned Data 1'!D17,"None")</f>
        <v>₹10500</v>
      </c>
      <c r="E14" s="1">
        <f>IFERROR(VALUE('Uncleaned Data 1'!E17),0)</f>
        <v>11200</v>
      </c>
      <c r="F14" s="1">
        <f>VALUE('Uncleaned Data 1'!F17)</f>
        <v>5</v>
      </c>
      <c r="G14" s="1">
        <f>'Uncleaned Data 1'!D17*'Uncleaned Data 1'!F17</f>
        <v>52500</v>
      </c>
      <c r="H14" s="1">
        <f>'Uncleaned Data 1'!E17*'Uncleaned Data 1'!F17</f>
        <v>56000</v>
      </c>
      <c r="I14" s="1">
        <f>'Uncleaned Data 1'!H15-'Uncleaned Data 1'!G15</f>
        <v>96300</v>
      </c>
      <c r="J14" s="1">
        <f>(('Uncleaned Data 1'!H17-'Uncleaned Data 1'!G17)/'Uncleaned Data 1'!G17)*100</f>
        <v>6.666666666666667</v>
      </c>
      <c r="K14" s="1" t="str">
        <f>IF('Uncleaned Data 1'!J17&gt;10,"BUY",IF('Uncleaned Data 1'!J17&gt;5,"HOLD","SELL"))</f>
        <v>HOLD</v>
      </c>
    </row>
    <row r="15" spans="1:11" x14ac:dyDescent="0.3">
      <c r="A15" s="15">
        <f>IFERROR(DATEVALUE('Uncleaned Data 1'!A18),"Invalid Date")</f>
        <v>45671</v>
      </c>
      <c r="B15" s="1" t="str">
        <f>PROPER(TRIM('Uncleaned Data 1'!B18))</f>
        <v>Ongc</v>
      </c>
      <c r="C15" s="1" t="str">
        <f>PROPER(TRIM('Uncleaned Data 1'!C18))</f>
        <v>Energy</v>
      </c>
      <c r="D15" s="1">
        <f>IF(COUNTBLANK('Uncleaned Data 1'!D18)=0,'Uncleaned Data 1'!D18,"None")</f>
        <v>250</v>
      </c>
      <c r="E15" s="1">
        <f>IFERROR(VALUE('Uncleaned Data 1'!E18),0)</f>
        <v>290</v>
      </c>
      <c r="F15" s="1">
        <f>VALUE('Uncleaned Data 1'!F18)</f>
        <v>120</v>
      </c>
      <c r="G15" s="1">
        <f>'Uncleaned Data 1'!D18*'Uncleaned Data 1'!F18</f>
        <v>30000</v>
      </c>
      <c r="H15" s="1">
        <f>'Uncleaned Data 1'!E18*'Uncleaned Data 1'!F18</f>
        <v>34800</v>
      </c>
      <c r="I15" s="1">
        <f>'Uncleaned Data 1'!H16-'Uncleaned Data 1'!G16</f>
        <v>6000</v>
      </c>
      <c r="J15" s="1">
        <f>(('Uncleaned Data 1'!H18-'Uncleaned Data 1'!G18)/'Uncleaned Data 1'!G18)*100</f>
        <v>16</v>
      </c>
      <c r="K15" s="1" t="str">
        <f>IF('Uncleaned Data 1'!J18&gt;10,"BUY",IF('Uncleaned Data 1'!J18&gt;5,"HOLD","SELL"))</f>
        <v>BUY</v>
      </c>
    </row>
    <row r="16" spans="1:11" x14ac:dyDescent="0.3">
      <c r="A16" s="15">
        <f>IFERROR(DATEVALUE('Uncleaned Data 1'!A19),"Invalid Date")</f>
        <v>45672</v>
      </c>
      <c r="B16" s="1" t="str">
        <f>PROPER(TRIM('Uncleaned Data 1'!B19))</f>
        <v>Nestle</v>
      </c>
      <c r="C16" s="1" t="str">
        <f>PROPER(TRIM('Uncleaned Data 1'!C19))</f>
        <v>Fmcg</v>
      </c>
      <c r="D16" s="1">
        <f>IF(COUNTBLANK('Uncleaned Data 1'!D19)=0,'Uncleaned Data 1'!D19,"None")</f>
        <v>22000</v>
      </c>
      <c r="E16" s="1">
        <f>IFERROR(VALUE('Uncleaned Data 1'!E19),0)</f>
        <v>23500</v>
      </c>
      <c r="F16" s="1">
        <f>VALUE('Uncleaned Data 1'!F19)</f>
        <v>3</v>
      </c>
      <c r="G16" s="1">
        <f>'Uncleaned Data 1'!D19*'Uncleaned Data 1'!F19</f>
        <v>66000</v>
      </c>
      <c r="H16" s="1">
        <f>'Uncleaned Data 1'!E19*'Uncleaned Data 1'!F19</f>
        <v>70500</v>
      </c>
      <c r="I16" s="1">
        <f>'Uncleaned Data 1'!H17-'Uncleaned Data 1'!G17</f>
        <v>3500</v>
      </c>
      <c r="J16" s="1">
        <f>(('Uncleaned Data 1'!H19-'Uncleaned Data 1'!G19)/'Uncleaned Data 1'!G19)*100</f>
        <v>6.8181818181818175</v>
      </c>
      <c r="K16" s="1" t="str">
        <f>IF('Uncleaned Data 1'!J19&gt;10,"BUY",IF('Uncleaned Data 1'!J19&gt;5,"HOLD","SELL"))</f>
        <v>HOLD</v>
      </c>
    </row>
    <row r="17" spans="1:11" x14ac:dyDescent="0.3">
      <c r="A17" s="15" t="str">
        <f>IFERROR(DATEVALUE('Uncleaned Data 1'!A20),"Invalid Date")</f>
        <v>Invalid Date</v>
      </c>
      <c r="B17" s="1" t="str">
        <f>PROPER(TRIM('Uncleaned Data 1'!B20))</f>
        <v>Power Grid</v>
      </c>
      <c r="C17" s="1" t="str">
        <f>PROPER(TRIM('Uncleaned Data 1'!C20))</f>
        <v>Utilities</v>
      </c>
      <c r="D17" s="1">
        <f>IF(COUNTBLANK('Uncleaned Data 1'!D20)=0,'Uncleaned Data 1'!D20,"None")</f>
        <v>280</v>
      </c>
      <c r="E17" s="1">
        <f>IFERROR(VALUE('Uncleaned Data 1'!E20),0)</f>
        <v>310</v>
      </c>
      <c r="F17" s="1">
        <f>VALUE('Uncleaned Data 1'!F20)</f>
        <v>90</v>
      </c>
      <c r="G17" s="1">
        <f>'Uncleaned Data 1'!D20*'Uncleaned Data 1'!F20</f>
        <v>25200</v>
      </c>
      <c r="H17" s="1">
        <f>'Uncleaned Data 1'!E20*'Uncleaned Data 1'!F20</f>
        <v>27900</v>
      </c>
      <c r="I17" s="1">
        <f>'Uncleaned Data 1'!H18-'Uncleaned Data 1'!G18</f>
        <v>4800</v>
      </c>
      <c r="J17" s="1">
        <f>(('Uncleaned Data 1'!H20-'Uncleaned Data 1'!G20)/'Uncleaned Data 1'!G20)*100</f>
        <v>10.714285714285714</v>
      </c>
      <c r="K17" s="1" t="str">
        <f>IF('Uncleaned Data 1'!J20&gt;10,"BUY",IF('Uncleaned Data 1'!J20&gt;5,"HOLD","SELL"))</f>
        <v>BUY</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9"/>
  <sheetViews>
    <sheetView showGridLines="0" showRowColHeaders="0" zoomScale="55" zoomScaleNormal="55" workbookViewId="0">
      <selection activeCell="M20" sqref="M20"/>
    </sheetView>
  </sheetViews>
  <sheetFormatPr defaultRowHeight="14.4" x14ac:dyDescent="0.3"/>
  <cols>
    <col min="1" max="1" width="16.6640625" bestFit="1" customWidth="1"/>
    <col min="2" max="2" width="17.77734375" bestFit="1" customWidth="1"/>
    <col min="3" max="3" width="16.109375" bestFit="1" customWidth="1"/>
    <col min="4" max="4" width="14" bestFit="1" customWidth="1"/>
    <col min="5" max="5" width="19.33203125" bestFit="1" customWidth="1"/>
    <col min="6" max="6" width="13.109375" bestFit="1" customWidth="1"/>
    <col min="7" max="7" width="16.88671875" bestFit="1" customWidth="1"/>
    <col min="8" max="8" width="20.21875" bestFit="1" customWidth="1"/>
    <col min="9" max="9" width="16.109375" bestFit="1" customWidth="1"/>
    <col min="10" max="10" width="15.109375" bestFit="1" customWidth="1"/>
    <col min="11" max="11" width="28.109375" bestFit="1" customWidth="1"/>
  </cols>
  <sheetData>
    <row r="1" spans="1:11" ht="21" x14ac:dyDescent="0.3">
      <c r="A1" s="6" t="str">
        <f>IF(XFD1&gt;10,"HOLD",IF(XFD1&gt;=5,"BUY","SELL"))</f>
        <v>SELL</v>
      </c>
      <c r="B1" s="6" t="s">
        <v>0</v>
      </c>
      <c r="C1" s="6" t="s">
        <v>1</v>
      </c>
      <c r="D1" s="6" t="s">
        <v>2</v>
      </c>
      <c r="E1" s="6" t="s">
        <v>3</v>
      </c>
      <c r="F1" s="6" t="s">
        <v>4</v>
      </c>
      <c r="G1" s="6" t="s">
        <v>5</v>
      </c>
      <c r="H1" s="6" t="s">
        <v>6</v>
      </c>
      <c r="I1" s="6" t="s">
        <v>7</v>
      </c>
      <c r="J1" s="6" t="s">
        <v>8</v>
      </c>
      <c r="K1" s="6" t="s">
        <v>9</v>
      </c>
    </row>
    <row r="2" spans="1:11" ht="21" x14ac:dyDescent="0.3">
      <c r="A2" s="7" t="s">
        <v>10</v>
      </c>
      <c r="B2" s="7" t="s">
        <v>11</v>
      </c>
      <c r="C2" s="7" t="s">
        <v>12</v>
      </c>
      <c r="D2" s="7">
        <v>2500</v>
      </c>
      <c r="E2" s="7">
        <v>2720</v>
      </c>
      <c r="F2" s="7">
        <v>20</v>
      </c>
      <c r="G2" s="7">
        <v>50000</v>
      </c>
      <c r="H2" s="7">
        <v>54400</v>
      </c>
      <c r="I2" s="7">
        <v>4400</v>
      </c>
      <c r="J2" s="7">
        <v>8.8000000000000007</v>
      </c>
      <c r="K2" s="8" t="str">
        <f>IF(J2&gt;10,"HOLD",IF(J2&gt;=5,"BUY","SELL"))</f>
        <v>BUY</v>
      </c>
    </row>
    <row r="3" spans="1:11" ht="21" x14ac:dyDescent="0.3">
      <c r="A3" s="7" t="s">
        <v>14</v>
      </c>
      <c r="B3" s="7" t="s">
        <v>15</v>
      </c>
      <c r="C3" s="7" t="s">
        <v>16</v>
      </c>
      <c r="D3" s="7">
        <v>3800</v>
      </c>
      <c r="E3" s="7">
        <v>3650</v>
      </c>
      <c r="F3" s="7">
        <v>15</v>
      </c>
      <c r="G3" s="7">
        <v>57000</v>
      </c>
      <c r="H3" s="7">
        <v>54750</v>
      </c>
      <c r="I3" s="7">
        <v>-2250</v>
      </c>
      <c r="J3" s="7">
        <v>-3.95</v>
      </c>
      <c r="K3" s="8" t="str">
        <f t="shared" ref="K3:K9" si="0">IF(J3&gt;10,"HOLD",IF(J3&gt;=5,"BUY","SELL"))</f>
        <v>SELL</v>
      </c>
    </row>
    <row r="4" spans="1:11" ht="21" x14ac:dyDescent="0.3">
      <c r="A4" s="7" t="s">
        <v>18</v>
      </c>
      <c r="B4" s="7" t="s">
        <v>19</v>
      </c>
      <c r="C4" s="7" t="s">
        <v>16</v>
      </c>
      <c r="D4" s="7">
        <v>1450</v>
      </c>
      <c r="E4" s="7">
        <v>1600</v>
      </c>
      <c r="F4" s="7">
        <v>30</v>
      </c>
      <c r="G4" s="7">
        <v>43500</v>
      </c>
      <c r="H4" s="7">
        <v>48000</v>
      </c>
      <c r="I4" s="7">
        <v>4500</v>
      </c>
      <c r="J4" s="7">
        <v>10.34</v>
      </c>
      <c r="K4" s="8" t="str">
        <f t="shared" si="0"/>
        <v>HOLD</v>
      </c>
    </row>
    <row r="5" spans="1:11" ht="21" x14ac:dyDescent="0.3">
      <c r="A5" s="7" t="s">
        <v>21</v>
      </c>
      <c r="B5" s="7" t="s">
        <v>22</v>
      </c>
      <c r="C5" s="7" t="s">
        <v>23</v>
      </c>
      <c r="D5" s="7">
        <v>1550</v>
      </c>
      <c r="E5" s="7">
        <v>1710</v>
      </c>
      <c r="F5" s="7">
        <v>25</v>
      </c>
      <c r="G5" s="7">
        <v>38750</v>
      </c>
      <c r="H5" s="7">
        <v>42750</v>
      </c>
      <c r="I5" s="7">
        <v>4000</v>
      </c>
      <c r="J5" s="7">
        <v>10.32</v>
      </c>
      <c r="K5" s="8" t="str">
        <f t="shared" si="0"/>
        <v>HOLD</v>
      </c>
    </row>
    <row r="6" spans="1:11" ht="21" x14ac:dyDescent="0.3">
      <c r="A6" s="7" t="s">
        <v>24</v>
      </c>
      <c r="B6" s="7" t="s">
        <v>25</v>
      </c>
      <c r="C6" s="7" t="s">
        <v>23</v>
      </c>
      <c r="D6" s="7">
        <v>1100</v>
      </c>
      <c r="E6" s="7">
        <v>1250</v>
      </c>
      <c r="F6" s="7">
        <v>40</v>
      </c>
      <c r="G6" s="7">
        <v>44000</v>
      </c>
      <c r="H6" s="7">
        <v>50000</v>
      </c>
      <c r="I6" s="7">
        <v>6000</v>
      </c>
      <c r="J6" s="7">
        <v>13.64</v>
      </c>
      <c r="K6" s="8" t="str">
        <f t="shared" si="0"/>
        <v>HOLD</v>
      </c>
    </row>
    <row r="7" spans="1:11" ht="21" x14ac:dyDescent="0.3">
      <c r="A7" s="7" t="s">
        <v>26</v>
      </c>
      <c r="B7" s="7" t="s">
        <v>27</v>
      </c>
      <c r="C7" s="7" t="s">
        <v>28</v>
      </c>
      <c r="D7" s="7">
        <v>450</v>
      </c>
      <c r="E7" s="7">
        <v>510</v>
      </c>
      <c r="F7" s="7">
        <v>100</v>
      </c>
      <c r="G7" s="7">
        <v>45000</v>
      </c>
      <c r="H7" s="7">
        <v>51000</v>
      </c>
      <c r="I7" s="7">
        <v>6000</v>
      </c>
      <c r="J7" s="7">
        <v>13.33</v>
      </c>
      <c r="K7" s="8" t="str">
        <f t="shared" si="0"/>
        <v>HOLD</v>
      </c>
    </row>
    <row r="8" spans="1:11" ht="21" x14ac:dyDescent="0.3">
      <c r="A8" s="7" t="s">
        <v>29</v>
      </c>
      <c r="B8" s="7" t="s">
        <v>30</v>
      </c>
      <c r="C8" s="7" t="s">
        <v>16</v>
      </c>
      <c r="D8" s="7">
        <v>520</v>
      </c>
      <c r="E8" s="7">
        <v>590</v>
      </c>
      <c r="F8" s="7">
        <v>80</v>
      </c>
      <c r="G8" s="7">
        <v>41600</v>
      </c>
      <c r="H8" s="7">
        <v>47200</v>
      </c>
      <c r="I8" s="7">
        <v>5600</v>
      </c>
      <c r="J8" s="7">
        <v>13.46</v>
      </c>
      <c r="K8" s="8" t="str">
        <f t="shared" si="0"/>
        <v>HOLD</v>
      </c>
    </row>
    <row r="9" spans="1:11" ht="21" x14ac:dyDescent="0.3">
      <c r="A9" s="7" t="s">
        <v>31</v>
      </c>
      <c r="B9" s="7" t="s">
        <v>32</v>
      </c>
      <c r="C9" s="7" t="s">
        <v>33</v>
      </c>
      <c r="D9" s="7">
        <v>1450</v>
      </c>
      <c r="E9" s="7">
        <v>1300</v>
      </c>
      <c r="F9" s="7">
        <v>28</v>
      </c>
      <c r="G9" s="7">
        <v>40600</v>
      </c>
      <c r="H9" s="7">
        <v>45360</v>
      </c>
      <c r="I9" s="7">
        <v>4760</v>
      </c>
      <c r="J9" s="7">
        <v>11.72</v>
      </c>
      <c r="K9" s="8" t="str">
        <f t="shared" si="0"/>
        <v>HOLD</v>
      </c>
    </row>
  </sheetData>
  <conditionalFormatting sqref="K2:K9">
    <cfRule type="cellIs" dxfId="245" priority="235" operator="equal">
      <formula>"HOLD"</formula>
    </cfRule>
    <cfRule type="cellIs" dxfId="244" priority="238" operator="equal">
      <formula>"HOLD"</formula>
    </cfRule>
    <cfRule type="cellIs" dxfId="243" priority="242" operator="equal">
      <formula>"BUY"</formula>
    </cfRule>
    <cfRule type="cellIs" dxfId="242" priority="246" operator="equal">
      <formula>"SELL"</formula>
    </cfRule>
  </conditionalFormatting>
  <conditionalFormatting sqref="K2:K9">
    <cfRule type="cellIs" dxfId="241" priority="232" operator="equal">
      <formula>"HOLD"</formula>
    </cfRule>
    <cfRule type="cellIs" dxfId="240" priority="239" operator="equal">
      <formula>"BUY"</formula>
    </cfRule>
    <cfRule type="cellIs" dxfId="239" priority="241" operator="equal">
      <formula>"HOLD"</formula>
    </cfRule>
    <cfRule type="cellIs" dxfId="238" priority="244" operator="equal">
      <formula>"HOLD"</formula>
    </cfRule>
    <cfRule type="cellIs" dxfId="237" priority="245" operator="equal">
      <formula>"BUY"</formula>
    </cfRule>
  </conditionalFormatting>
  <conditionalFormatting sqref="K2:K9">
    <cfRule type="cellIs" dxfId="236" priority="229" operator="equal">
      <formula>"HOLD"</formula>
    </cfRule>
    <cfRule type="cellIs" dxfId="235" priority="236" operator="equal">
      <formula>"BUY"</formula>
    </cfRule>
    <cfRule type="cellIs" dxfId="234" priority="243" operator="equal">
      <formula>"SELL"</formula>
    </cfRule>
  </conditionalFormatting>
  <conditionalFormatting sqref="K2:K9">
    <cfRule type="cellIs" dxfId="233" priority="226" operator="equal">
      <formula>"HOLD"</formula>
    </cfRule>
    <cfRule type="cellIs" dxfId="232" priority="233" operator="equal">
      <formula>"BUY"</formula>
    </cfRule>
    <cfRule type="cellIs" dxfId="231" priority="240" operator="equal">
      <formula>"SELL"</formula>
    </cfRule>
  </conditionalFormatting>
  <conditionalFormatting sqref="K2:K9">
    <cfRule type="cellIs" dxfId="230" priority="223" operator="equal">
      <formula>"HOLD"</formula>
    </cfRule>
    <cfRule type="cellIs" dxfId="229" priority="230" operator="equal">
      <formula>"BUY"</formula>
    </cfRule>
    <cfRule type="cellIs" dxfId="228" priority="237" operator="equal">
      <formula>"SELL"</formula>
    </cfRule>
  </conditionalFormatting>
  <conditionalFormatting sqref="K2:K9">
    <cfRule type="cellIs" dxfId="227" priority="220" operator="equal">
      <formula>"HOLD"</formula>
    </cfRule>
    <cfRule type="cellIs" dxfId="226" priority="227" operator="equal">
      <formula>"BUY"</formula>
    </cfRule>
    <cfRule type="cellIs" dxfId="225" priority="234" operator="equal">
      <formula>"SELL"</formula>
    </cfRule>
  </conditionalFormatting>
  <conditionalFormatting sqref="K2:K9">
    <cfRule type="cellIs" dxfId="224" priority="52" operator="equal">
      <formula>"HOLD"</formula>
    </cfRule>
    <cfRule type="cellIs" dxfId="223" priority="151" operator="equal">
      <formula>"HOLD"</formula>
    </cfRule>
    <cfRule type="cellIs" dxfId="222" priority="217" operator="equal">
      <formula>"HOLD"</formula>
    </cfRule>
    <cfRule type="cellIs" dxfId="221" priority="224" operator="equal">
      <formula>"BUY"</formula>
    </cfRule>
    <cfRule type="cellIs" dxfId="220" priority="231" operator="equal">
      <formula>"SELL"</formula>
    </cfRule>
  </conditionalFormatting>
  <conditionalFormatting sqref="K2:K9">
    <cfRule type="cellIs" dxfId="219" priority="58" operator="equal">
      <formula>"HOLD"</formula>
    </cfRule>
    <cfRule type="cellIs" dxfId="218" priority="214" operator="equal">
      <formula>"HOLD"</formula>
    </cfRule>
    <cfRule type="cellIs" dxfId="217" priority="221" operator="equal">
      <formula>"BUY"</formula>
    </cfRule>
    <cfRule type="cellIs" dxfId="216" priority="228" operator="equal">
      <formula>"SELL"</formula>
    </cfRule>
  </conditionalFormatting>
  <conditionalFormatting sqref="K2:K9">
    <cfRule type="cellIs" dxfId="215" priority="28" operator="equal">
      <formula>"HOLD"</formula>
    </cfRule>
    <cfRule type="cellIs" dxfId="214" priority="211" operator="equal">
      <formula>"HOLD"</formula>
    </cfRule>
    <cfRule type="cellIs" dxfId="213" priority="218" operator="equal">
      <formula>"BUY"</formula>
    </cfRule>
    <cfRule type="cellIs" dxfId="212" priority="225" operator="equal">
      <formula>"SELL"</formula>
    </cfRule>
  </conditionalFormatting>
  <conditionalFormatting sqref="K2:K9">
    <cfRule type="cellIs" dxfId="211" priority="59" operator="equal">
      <formula>"BUY"</formula>
    </cfRule>
    <cfRule type="cellIs" dxfId="210" priority="124" operator="equal">
      <formula>"HOLD"</formula>
    </cfRule>
    <cfRule type="cellIs" dxfId="209" priority="208" operator="equal">
      <formula>"HOLD"</formula>
    </cfRule>
    <cfRule type="cellIs" dxfId="208" priority="215" operator="equal">
      <formula>"BUY"</formula>
    </cfRule>
    <cfRule type="cellIs" dxfId="207" priority="222" operator="equal">
      <formula>"SELL"</formula>
    </cfRule>
  </conditionalFormatting>
  <conditionalFormatting sqref="K2:K9">
    <cfRule type="cellIs" dxfId="206" priority="205" operator="equal">
      <formula>"HOLD"</formula>
    </cfRule>
    <cfRule type="cellIs" dxfId="205" priority="212" operator="equal">
      <formula>"BUY"</formula>
    </cfRule>
    <cfRule type="cellIs" dxfId="204" priority="219" operator="equal">
      <formula>"SELL"</formula>
    </cfRule>
  </conditionalFormatting>
  <conditionalFormatting sqref="K2:K9">
    <cfRule type="cellIs" dxfId="203" priority="154" operator="equal">
      <formula>"HOLD"</formula>
    </cfRule>
    <cfRule type="cellIs" dxfId="202" priority="187" operator="equal">
      <formula>"HOLD"</formula>
    </cfRule>
    <cfRule type="cellIs" dxfId="201" priority="202" operator="equal">
      <formula>"HOLD"</formula>
    </cfRule>
    <cfRule type="cellIs" dxfId="200" priority="209" operator="equal">
      <formula>"BUY"</formula>
    </cfRule>
    <cfRule type="cellIs" dxfId="199" priority="216" operator="equal">
      <formula>"SELL"</formula>
    </cfRule>
  </conditionalFormatting>
  <conditionalFormatting sqref="K2:K9">
    <cfRule type="cellIs" dxfId="198" priority="188" operator="equal">
      <formula>"BUY"</formula>
    </cfRule>
    <cfRule type="cellIs" dxfId="197" priority="199" operator="equal">
      <formula>"HOLD"</formula>
    </cfRule>
    <cfRule type="cellIs" dxfId="196" priority="206" operator="equal">
      <formula>"BUY"</formula>
    </cfRule>
    <cfRule type="cellIs" dxfId="195" priority="213" operator="equal">
      <formula>"SELL"</formula>
    </cfRule>
  </conditionalFormatting>
  <conditionalFormatting sqref="K2:K9">
    <cfRule type="cellIs" dxfId="194" priority="121" operator="equal">
      <formula>"HOLD"</formula>
    </cfRule>
    <cfRule type="cellIs" dxfId="193" priority="196" operator="equal">
      <formula>"HOLD"</formula>
    </cfRule>
    <cfRule type="cellIs" dxfId="192" priority="203" operator="equal">
      <formula>"BUY"</formula>
    </cfRule>
    <cfRule type="cellIs" dxfId="191" priority="210" operator="equal">
      <formula>"SELL"</formula>
    </cfRule>
  </conditionalFormatting>
  <conditionalFormatting sqref="K2:K9">
    <cfRule type="cellIs" dxfId="190" priority="193" operator="equal">
      <formula>"HOLD"</formula>
    </cfRule>
    <cfRule type="cellIs" dxfId="189" priority="200" operator="equal">
      <formula>"BUY"</formula>
    </cfRule>
    <cfRule type="cellIs" dxfId="188" priority="207" operator="equal">
      <formula>"SELL"</formula>
    </cfRule>
  </conditionalFormatting>
  <conditionalFormatting sqref="K2:K9">
    <cfRule type="cellIs" dxfId="187" priority="190" operator="equal">
      <formula>"HOLD"</formula>
    </cfRule>
    <cfRule type="cellIs" dxfId="186" priority="197" operator="equal">
      <formula>"BUY"</formula>
    </cfRule>
    <cfRule type="cellIs" dxfId="185" priority="204" operator="equal">
      <formula>"SELL"</formula>
    </cfRule>
  </conditionalFormatting>
  <conditionalFormatting sqref="K2:K9">
    <cfRule type="cellIs" dxfId="184" priority="94" operator="equal">
      <formula>"HOLD"</formula>
    </cfRule>
    <cfRule type="cellIs" dxfId="183" priority="194" operator="equal">
      <formula>"BUY"</formula>
    </cfRule>
    <cfRule type="cellIs" dxfId="182" priority="201" operator="equal">
      <formula>"SELL"</formula>
    </cfRule>
  </conditionalFormatting>
  <conditionalFormatting sqref="K2:K9">
    <cfRule type="cellIs" dxfId="181" priority="181" operator="equal">
      <formula>"HOLD"</formula>
    </cfRule>
    <cfRule type="cellIs" dxfId="180" priority="184" operator="equal">
      <formula>"HOLD"</formula>
    </cfRule>
    <cfRule type="cellIs" dxfId="179" priority="191" operator="equal">
      <formula>"BUY"</formula>
    </cfRule>
    <cfRule type="cellIs" dxfId="178" priority="198" operator="equal">
      <formula>"SELL"</formula>
    </cfRule>
  </conditionalFormatting>
  <conditionalFormatting sqref="K2:K9">
    <cfRule type="cellIs" dxfId="177" priority="22" operator="equal">
      <formula>"HOLD"</formula>
    </cfRule>
    <cfRule type="cellIs" dxfId="176" priority="158" operator="equal">
      <formula>"BUY"</formula>
    </cfRule>
    <cfRule type="cellIs" dxfId="175" priority="185" operator="equal">
      <formula>"BUY"</formula>
    </cfRule>
    <cfRule type="cellIs" dxfId="174" priority="195" operator="equal">
      <formula>"SELL"</formula>
    </cfRule>
  </conditionalFormatting>
  <conditionalFormatting sqref="K2:K9">
    <cfRule type="cellIs" dxfId="173" priority="55" operator="equal">
      <formula>"HOLD"</formula>
    </cfRule>
    <cfRule type="cellIs" dxfId="172" priority="178" operator="equal">
      <formula>"HOLD"</formula>
    </cfRule>
    <cfRule type="cellIs" dxfId="171" priority="192" operator="equal">
      <formula>"SELL"</formula>
    </cfRule>
  </conditionalFormatting>
  <conditionalFormatting sqref="K2:K9">
    <cfRule type="cellIs" dxfId="170" priority="175" operator="equal">
      <formula>"HOLD"</formula>
    </cfRule>
    <cfRule type="cellIs" dxfId="169" priority="182" operator="equal">
      <formula>"BUY"</formula>
    </cfRule>
    <cfRule type="cellIs" dxfId="168" priority="189" operator="equal">
      <formula>"SELL"</formula>
    </cfRule>
  </conditionalFormatting>
  <conditionalFormatting sqref="K2:K9">
    <cfRule type="cellIs" dxfId="167" priority="118" operator="equal">
      <formula>"HOLD"</formula>
    </cfRule>
    <cfRule type="cellIs" dxfId="166" priority="172" operator="equal">
      <formula>"HOLD"</formula>
    </cfRule>
    <cfRule type="cellIs" dxfId="165" priority="179" operator="equal">
      <formula>"BUY"</formula>
    </cfRule>
    <cfRule type="cellIs" dxfId="164" priority="186" operator="equal">
      <formula>"SELL"</formula>
    </cfRule>
  </conditionalFormatting>
  <conditionalFormatting sqref="K2:K9">
    <cfRule type="cellIs" dxfId="163" priority="122" operator="equal">
      <formula>"BUY"</formula>
    </cfRule>
    <cfRule type="cellIs" dxfId="162" priority="169" operator="equal">
      <formula>"HOLD"</formula>
    </cfRule>
    <cfRule type="cellIs" dxfId="161" priority="176" operator="equal">
      <formula>"BUY"</formula>
    </cfRule>
    <cfRule type="cellIs" dxfId="160" priority="183" operator="equal">
      <formula>"SELL"</formula>
    </cfRule>
  </conditionalFormatting>
  <conditionalFormatting sqref="K2:K9">
    <cfRule type="cellIs" dxfId="159" priority="166" operator="equal">
      <formula>"HOLD"</formula>
    </cfRule>
    <cfRule type="cellIs" dxfId="158" priority="173" operator="equal">
      <formula>"BUY"</formula>
    </cfRule>
    <cfRule type="cellIs" dxfId="157" priority="180" operator="equal">
      <formula>"SELL"</formula>
    </cfRule>
  </conditionalFormatting>
  <conditionalFormatting sqref="K2:K9">
    <cfRule type="cellIs" dxfId="156" priority="35" operator="equal">
      <formula>"BUY"</formula>
    </cfRule>
    <cfRule type="cellIs" dxfId="155" priority="163" operator="equal">
      <formula>"HOLD"</formula>
    </cfRule>
    <cfRule type="cellIs" dxfId="154" priority="170" operator="equal">
      <formula>"BUY"</formula>
    </cfRule>
    <cfRule type="cellIs" dxfId="153" priority="177" operator="equal">
      <formula>"SELL"</formula>
    </cfRule>
  </conditionalFormatting>
  <conditionalFormatting sqref="K2:K9">
    <cfRule type="cellIs" dxfId="152" priority="157" operator="equal">
      <formula>"HOLD"</formula>
    </cfRule>
    <cfRule type="cellIs" dxfId="151" priority="160" operator="equal">
      <formula>"HOLD"</formula>
    </cfRule>
    <cfRule type="cellIs" dxfId="150" priority="167" operator="equal">
      <formula>"BUY"</formula>
    </cfRule>
    <cfRule type="cellIs" dxfId="149" priority="174" operator="equal">
      <formula>"SELL"</formula>
    </cfRule>
  </conditionalFormatting>
  <conditionalFormatting sqref="K2:K9">
    <cfRule type="cellIs" dxfId="148" priority="164" operator="equal">
      <formula>"BUY"</formula>
    </cfRule>
    <cfRule type="cellIs" dxfId="147" priority="171" operator="equal">
      <formula>"SELL"</formula>
    </cfRule>
  </conditionalFormatting>
  <conditionalFormatting sqref="K2:K9">
    <cfRule type="cellIs" dxfId="146" priority="161" operator="equal">
      <formula>"BUY"</formula>
    </cfRule>
    <cfRule type="cellIs" dxfId="145" priority="168" operator="equal">
      <formula>"SELL"</formula>
    </cfRule>
  </conditionalFormatting>
  <conditionalFormatting sqref="K2:K9">
    <cfRule type="cellIs" dxfId="144" priority="125" operator="equal">
      <formula>"BUY"</formula>
    </cfRule>
    <cfRule type="cellIs" dxfId="143" priority="165" operator="equal">
      <formula>"SELL"</formula>
    </cfRule>
  </conditionalFormatting>
  <conditionalFormatting sqref="K2:K9">
    <cfRule type="cellIs" dxfId="142" priority="148" operator="equal">
      <formula>"HOLD"</formula>
    </cfRule>
    <cfRule type="cellIs" dxfId="141" priority="155" operator="equal">
      <formula>"BUY"</formula>
    </cfRule>
    <cfRule type="cellIs" dxfId="140" priority="162" operator="equal">
      <formula>"SELL"</formula>
    </cfRule>
  </conditionalFormatting>
  <conditionalFormatting sqref="K2:K9">
    <cfRule type="cellIs" dxfId="139" priority="145" operator="equal">
      <formula>"HOLD"</formula>
    </cfRule>
    <cfRule type="cellIs" dxfId="138" priority="152" operator="equal">
      <formula>"BUY"</formula>
    </cfRule>
    <cfRule type="cellIs" dxfId="137" priority="159" operator="equal">
      <formula>"SELL"</formula>
    </cfRule>
  </conditionalFormatting>
  <conditionalFormatting sqref="K2:K9">
    <cfRule type="cellIs" dxfId="136" priority="91" operator="equal">
      <formula>"HOLD"</formula>
    </cfRule>
    <cfRule type="cellIs" dxfId="135" priority="142" operator="equal">
      <formula>"HOLD"</formula>
    </cfRule>
    <cfRule type="cellIs" dxfId="134" priority="149" operator="equal">
      <formula>"BUY"</formula>
    </cfRule>
    <cfRule type="cellIs" dxfId="133" priority="156" operator="equal">
      <formula>"SELL"</formula>
    </cfRule>
  </conditionalFormatting>
  <conditionalFormatting sqref="K2:K9">
    <cfRule type="cellIs" dxfId="132" priority="95" operator="equal">
      <formula>"BUY"</formula>
    </cfRule>
    <cfRule type="cellIs" dxfId="131" priority="139" operator="equal">
      <formula>"HOLD"</formula>
    </cfRule>
    <cfRule type="cellIs" dxfId="130" priority="146" operator="equal">
      <formula>"BUY"</formula>
    </cfRule>
    <cfRule type="cellIs" dxfId="129" priority="153" operator="equal">
      <formula>"SELL"</formula>
    </cfRule>
  </conditionalFormatting>
  <conditionalFormatting sqref="K2:K9">
    <cfRule type="cellIs" dxfId="128" priority="136" operator="equal">
      <formula>"HOLD"</formula>
    </cfRule>
    <cfRule type="cellIs" dxfId="127" priority="143" operator="equal">
      <formula>"BUY"</formula>
    </cfRule>
    <cfRule type="cellIs" dxfId="126" priority="150" operator="equal">
      <formula>"SELL"</formula>
    </cfRule>
  </conditionalFormatting>
  <conditionalFormatting sqref="K2:K9">
    <cfRule type="cellIs" dxfId="125" priority="133" operator="equal">
      <formula>"HOLD"</formula>
    </cfRule>
    <cfRule type="cellIs" dxfId="124" priority="140" operator="equal">
      <formula>"BUY"</formula>
    </cfRule>
    <cfRule type="cellIs" dxfId="123" priority="147" operator="equal">
      <formula>"SELL"</formula>
    </cfRule>
  </conditionalFormatting>
  <conditionalFormatting sqref="K2:K9">
    <cfRule type="cellIs" dxfId="122" priority="130" operator="equal">
      <formula>"HOLD"</formula>
    </cfRule>
    <cfRule type="cellIs" dxfId="121" priority="137" operator="equal">
      <formula>"BUY"</formula>
    </cfRule>
    <cfRule type="cellIs" dxfId="120" priority="144" operator="equal">
      <formula>"SELL"</formula>
    </cfRule>
  </conditionalFormatting>
  <conditionalFormatting sqref="K2:K9">
    <cfRule type="cellIs" dxfId="119" priority="127" operator="equal">
      <formula>"HOLD"</formula>
    </cfRule>
    <cfRule type="cellIs" dxfId="118" priority="134" operator="equal">
      <formula>"BUY"</formula>
    </cfRule>
    <cfRule type="cellIs" dxfId="117" priority="141" operator="equal">
      <formula>"SELL"</formula>
    </cfRule>
  </conditionalFormatting>
  <conditionalFormatting sqref="K2:K9">
    <cfRule type="cellIs" dxfId="116" priority="131" operator="equal">
      <formula>"BUY"</formula>
    </cfRule>
    <cfRule type="cellIs" dxfId="115" priority="138" operator="equal">
      <formula>"SELL"</formula>
    </cfRule>
  </conditionalFormatting>
  <conditionalFormatting sqref="K2:K9">
    <cfRule type="cellIs" dxfId="114" priority="88" operator="equal">
      <formula>"HOLD"</formula>
    </cfRule>
    <cfRule type="cellIs" dxfId="113" priority="128" operator="equal">
      <formula>"BUY"</formula>
    </cfRule>
    <cfRule type="cellIs" dxfId="112" priority="135" operator="equal">
      <formula>"SELL"</formula>
    </cfRule>
  </conditionalFormatting>
  <conditionalFormatting sqref="K2:K9">
    <cfRule type="cellIs" dxfId="111" priority="34" operator="equal">
      <formula>"HOLD"</formula>
    </cfRule>
    <cfRule type="cellIs" dxfId="110" priority="132" operator="equal">
      <formula>"SELL"</formula>
    </cfRule>
  </conditionalFormatting>
  <conditionalFormatting sqref="K2:K9">
    <cfRule type="cellIs" dxfId="109" priority="115" operator="equal">
      <formula>"HOLD"</formula>
    </cfRule>
    <cfRule type="cellIs" dxfId="108" priority="129" operator="equal">
      <formula>"SELL"</formula>
    </cfRule>
  </conditionalFormatting>
  <conditionalFormatting sqref="K2:K9">
    <cfRule type="cellIs" dxfId="107" priority="25" operator="equal">
      <formula>"HOLD"</formula>
    </cfRule>
    <cfRule type="cellIs" dxfId="106" priority="112" operator="equal">
      <formula>"HOLD"</formula>
    </cfRule>
    <cfRule type="cellIs" dxfId="105" priority="119" operator="equal">
      <formula>"BUY"</formula>
    </cfRule>
    <cfRule type="cellIs" dxfId="104" priority="126" operator="equal">
      <formula>"SELL"</formula>
    </cfRule>
  </conditionalFormatting>
  <conditionalFormatting sqref="K2:K9">
    <cfRule type="cellIs" dxfId="103" priority="109" operator="equal">
      <formula>"HOLD"</formula>
    </cfRule>
    <cfRule type="cellIs" dxfId="102" priority="116" operator="equal">
      <formula>"BUY"</formula>
    </cfRule>
    <cfRule type="cellIs" dxfId="101" priority="123" operator="equal">
      <formula>"SELL"</formula>
    </cfRule>
  </conditionalFormatting>
  <conditionalFormatting sqref="K2:K9">
    <cfRule type="cellIs" dxfId="100" priority="106" operator="equal">
      <formula>"HOLD"</formula>
    </cfRule>
    <cfRule type="cellIs" dxfId="99" priority="113" operator="equal">
      <formula>"BUY"</formula>
    </cfRule>
    <cfRule type="cellIs" dxfId="98" priority="120" operator="equal">
      <formula>"SELL"</formula>
    </cfRule>
  </conditionalFormatting>
  <conditionalFormatting sqref="K2:K9">
    <cfRule type="cellIs" dxfId="97" priority="103" operator="equal">
      <formula>"HOLD"</formula>
    </cfRule>
    <cfRule type="cellIs" dxfId="96" priority="110" operator="equal">
      <formula>"BUY"</formula>
    </cfRule>
    <cfRule type="cellIs" dxfId="95" priority="117" operator="equal">
      <formula>"SELL"</formula>
    </cfRule>
  </conditionalFormatting>
  <conditionalFormatting sqref="K2:K9">
    <cfRule type="cellIs" dxfId="94" priority="100" operator="equal">
      <formula>"HOLD"</formula>
    </cfRule>
    <cfRule type="cellIs" dxfId="93" priority="107" operator="equal">
      <formula>"BUY"</formula>
    </cfRule>
    <cfRule type="cellIs" dxfId="92" priority="114" operator="equal">
      <formula>"SELL"</formula>
    </cfRule>
  </conditionalFormatting>
  <conditionalFormatting sqref="K2:K9">
    <cfRule type="cellIs" dxfId="91" priority="97" operator="equal">
      <formula>"HOLD"</formula>
    </cfRule>
    <cfRule type="cellIs" dxfId="90" priority="104" operator="equal">
      <formula>"BUY"</formula>
    </cfRule>
    <cfRule type="cellIs" dxfId="89" priority="111" operator="equal">
      <formula>"SELL"</formula>
    </cfRule>
  </conditionalFormatting>
  <conditionalFormatting sqref="K2:K9">
    <cfRule type="cellIs" dxfId="88" priority="101" operator="equal">
      <formula>"BUY"</formula>
    </cfRule>
    <cfRule type="cellIs" dxfId="87" priority="108" operator="equal">
      <formula>"SELL"</formula>
    </cfRule>
  </conditionalFormatting>
  <conditionalFormatting sqref="K2:K9">
    <cfRule type="cellIs" dxfId="86" priority="98" operator="equal">
      <formula>"BUY"</formula>
    </cfRule>
    <cfRule type="cellIs" dxfId="85" priority="105" operator="equal">
      <formula>"SELL"</formula>
    </cfRule>
  </conditionalFormatting>
  <conditionalFormatting sqref="K2:K9">
    <cfRule type="cellIs" dxfId="84" priority="102" operator="equal">
      <formula>"SELL"</formula>
    </cfRule>
  </conditionalFormatting>
  <conditionalFormatting sqref="K2:K9">
    <cfRule type="cellIs" dxfId="83" priority="85" operator="equal">
      <formula>"HOLD"</formula>
    </cfRule>
    <cfRule type="cellIs" dxfId="82" priority="92" operator="equal">
      <formula>"BUY"</formula>
    </cfRule>
    <cfRule type="cellIs" dxfId="81" priority="99" operator="equal">
      <formula>"SELL"</formula>
    </cfRule>
  </conditionalFormatting>
  <conditionalFormatting sqref="K2:K9">
    <cfRule type="cellIs" dxfId="80" priority="82" operator="equal">
      <formula>"HOLD"</formula>
    </cfRule>
    <cfRule type="cellIs" dxfId="79" priority="89" operator="equal">
      <formula>"BUY"</formula>
    </cfRule>
    <cfRule type="cellIs" dxfId="78" priority="96" operator="equal">
      <formula>"SELL"</formula>
    </cfRule>
  </conditionalFormatting>
  <conditionalFormatting sqref="K2:K9">
    <cfRule type="cellIs" dxfId="77" priority="79" operator="equal">
      <formula>"HOLD"</formula>
    </cfRule>
    <cfRule type="cellIs" dxfId="76" priority="86" operator="equal">
      <formula>"BUY"</formula>
    </cfRule>
    <cfRule type="cellIs" dxfId="75" priority="93" operator="equal">
      <formula>"SELL"</formula>
    </cfRule>
  </conditionalFormatting>
  <conditionalFormatting sqref="K2:K9">
    <cfRule type="cellIs" dxfId="74" priority="76" operator="equal">
      <formula>"HOLD"</formula>
    </cfRule>
    <cfRule type="cellIs" dxfId="73" priority="83" operator="equal">
      <formula>"BUY"</formula>
    </cfRule>
    <cfRule type="cellIs" dxfId="72" priority="90" operator="equal">
      <formula>"SELL"</formula>
    </cfRule>
  </conditionalFormatting>
  <conditionalFormatting sqref="K2:K9">
    <cfRule type="cellIs" dxfId="71" priority="73" operator="equal">
      <formula>"HOLD"</formula>
    </cfRule>
    <cfRule type="cellIs" dxfId="70" priority="80" operator="equal">
      <formula>"BUY"</formula>
    </cfRule>
    <cfRule type="cellIs" dxfId="69" priority="87" operator="equal">
      <formula>"SELL"</formula>
    </cfRule>
  </conditionalFormatting>
  <conditionalFormatting sqref="K2:K9">
    <cfRule type="cellIs" dxfId="68" priority="70" operator="equal">
      <formula>"HOLD"</formula>
    </cfRule>
    <cfRule type="cellIs" dxfId="67" priority="77" operator="equal">
      <formula>"BUY"</formula>
    </cfRule>
    <cfRule type="cellIs" dxfId="66" priority="84" operator="equal">
      <formula>"SELL"</formula>
    </cfRule>
  </conditionalFormatting>
  <conditionalFormatting sqref="K2:K9">
    <cfRule type="cellIs" dxfId="65" priority="67" operator="equal">
      <formula>"HOLD"</formula>
    </cfRule>
    <cfRule type="cellIs" dxfId="64" priority="74" operator="equal">
      <formula>"BUY"</formula>
    </cfRule>
    <cfRule type="cellIs" dxfId="63" priority="81" operator="equal">
      <formula>"SELL"</formula>
    </cfRule>
  </conditionalFormatting>
  <conditionalFormatting sqref="K2:K9">
    <cfRule type="cellIs" dxfId="62" priority="64" operator="equal">
      <formula>"HOLD"</formula>
    </cfRule>
    <cfRule type="cellIs" dxfId="61" priority="71" operator="equal">
      <formula>"BUY"</formula>
    </cfRule>
    <cfRule type="cellIs" dxfId="60" priority="78" operator="equal">
      <formula>"SELL"</formula>
    </cfRule>
  </conditionalFormatting>
  <conditionalFormatting sqref="K2:K9">
    <cfRule type="cellIs" dxfId="59" priority="31" operator="equal">
      <formula>"HOLD"</formula>
    </cfRule>
    <cfRule type="cellIs" dxfId="58" priority="61" operator="equal">
      <formula>"HOLD"</formula>
    </cfRule>
    <cfRule type="cellIs" dxfId="57" priority="68" operator="equal">
      <formula>"BUY"</formula>
    </cfRule>
    <cfRule type="cellIs" dxfId="56" priority="75" operator="equal">
      <formula>"SELL"</formula>
    </cfRule>
  </conditionalFormatting>
  <conditionalFormatting sqref="K2:K9">
    <cfRule type="cellIs" dxfId="55" priority="65" operator="equal">
      <formula>"BUY"</formula>
    </cfRule>
    <cfRule type="cellIs" dxfId="54" priority="72" operator="equal">
      <formula>"SELL"</formula>
    </cfRule>
  </conditionalFormatting>
  <conditionalFormatting sqref="K2:K9">
    <cfRule type="cellIs" dxfId="53" priority="62" operator="equal">
      <formula>"BUY"</formula>
    </cfRule>
    <cfRule type="cellIs" dxfId="52" priority="69" operator="equal">
      <formula>"SELL"</formula>
    </cfRule>
  </conditionalFormatting>
  <conditionalFormatting sqref="K2:K9">
    <cfRule type="cellIs" dxfId="51" priority="56" operator="equal">
      <formula>"BUY"</formula>
    </cfRule>
    <cfRule type="cellIs" dxfId="50" priority="66" operator="equal">
      <formula>"SELL"</formula>
    </cfRule>
  </conditionalFormatting>
  <conditionalFormatting sqref="K2:K9">
    <cfRule type="cellIs" dxfId="49" priority="1" operator="equal">
      <formula>"HOLD"</formula>
    </cfRule>
    <cfRule type="cellIs" dxfId="48" priority="49" operator="equal">
      <formula>"HOLD"</formula>
    </cfRule>
    <cfRule type="cellIs" dxfId="47" priority="63" operator="equal">
      <formula>"SELL"</formula>
    </cfRule>
  </conditionalFormatting>
  <conditionalFormatting sqref="K2:K9">
    <cfRule type="cellIs" dxfId="46" priority="46" operator="equal">
      <formula>"HOLD"</formula>
    </cfRule>
    <cfRule type="cellIs" dxfId="45" priority="53" operator="equal">
      <formula>"BUY"</formula>
    </cfRule>
    <cfRule type="cellIs" dxfId="44" priority="60" operator="equal">
      <formula>"SELL"</formula>
    </cfRule>
  </conditionalFormatting>
  <conditionalFormatting sqref="K2:K9">
    <cfRule type="cellIs" dxfId="43" priority="43" operator="equal">
      <formula>"HOLD"</formula>
    </cfRule>
    <cfRule type="cellIs" dxfId="42" priority="50" operator="equal">
      <formula>"BUY"</formula>
    </cfRule>
    <cfRule type="cellIs" dxfId="41" priority="57" operator="equal">
      <formula>"SELL"</formula>
    </cfRule>
  </conditionalFormatting>
  <conditionalFormatting sqref="K2:K9">
    <cfRule type="cellIs" dxfId="40" priority="40" operator="equal">
      <formula>"HOLD"</formula>
    </cfRule>
    <cfRule type="cellIs" dxfId="39" priority="47" operator="equal">
      <formula>"BUY"</formula>
    </cfRule>
    <cfRule type="cellIs" dxfId="38" priority="54" operator="equal">
      <formula>"SELL"</formula>
    </cfRule>
  </conditionalFormatting>
  <conditionalFormatting sqref="K2:K9">
    <cfRule type="cellIs" dxfId="37" priority="37" operator="equal">
      <formula>"HOLD"</formula>
    </cfRule>
    <cfRule type="cellIs" dxfId="36" priority="44" operator="equal">
      <formula>"BUY"</formula>
    </cfRule>
    <cfRule type="cellIs" dxfId="35" priority="51" operator="equal">
      <formula>"SELL"</formula>
    </cfRule>
  </conditionalFormatting>
  <conditionalFormatting sqref="K2:K9">
    <cfRule type="cellIs" dxfId="34" priority="41" operator="equal">
      <formula>"BUY"</formula>
    </cfRule>
    <cfRule type="cellIs" dxfId="33" priority="48" operator="equal">
      <formula>"SELL"</formula>
    </cfRule>
  </conditionalFormatting>
  <conditionalFormatting sqref="K2:K9">
    <cfRule type="cellIs" dxfId="32" priority="38" operator="equal">
      <formula>"BUY"</formula>
    </cfRule>
    <cfRule type="cellIs" dxfId="31" priority="45" operator="equal">
      <formula>"SELL"</formula>
    </cfRule>
  </conditionalFormatting>
  <conditionalFormatting sqref="K2:K9">
    <cfRule type="cellIs" dxfId="30" priority="42" operator="equal">
      <formula>"SELL"</formula>
    </cfRule>
  </conditionalFormatting>
  <conditionalFormatting sqref="K2:K9">
    <cfRule type="cellIs" dxfId="29" priority="32" operator="equal">
      <formula>"BUY"</formula>
    </cfRule>
    <cfRule type="cellIs" dxfId="28" priority="39" operator="equal">
      <formula>"SELL"</formula>
    </cfRule>
  </conditionalFormatting>
  <conditionalFormatting sqref="K2:K9">
    <cfRule type="cellIs" dxfId="27" priority="29" operator="equal">
      <formula>"BUY"</formula>
    </cfRule>
    <cfRule type="cellIs" dxfId="26" priority="36" operator="equal">
      <formula>"SELL"</formula>
    </cfRule>
  </conditionalFormatting>
  <conditionalFormatting sqref="K2:K9">
    <cfRule type="cellIs" dxfId="25" priority="19" operator="equal">
      <formula>"HOLD"</formula>
    </cfRule>
    <cfRule type="cellIs" dxfId="24" priority="26" operator="equal">
      <formula>"BUY"</formula>
    </cfRule>
    <cfRule type="cellIs" dxfId="23" priority="33" operator="equal">
      <formula>"SELL"</formula>
    </cfRule>
  </conditionalFormatting>
  <conditionalFormatting sqref="K2:K9">
    <cfRule type="cellIs" dxfId="22" priority="16" operator="equal">
      <formula>"HOLD"</formula>
    </cfRule>
    <cfRule type="cellIs" dxfId="21" priority="23" operator="equal">
      <formula>"BUY"</formula>
    </cfRule>
    <cfRule type="cellIs" dxfId="20" priority="30" operator="equal">
      <formula>"SELL"</formula>
    </cfRule>
  </conditionalFormatting>
  <conditionalFormatting sqref="K2:K9">
    <cfRule type="cellIs" dxfId="19" priority="13" operator="equal">
      <formula>"HOLD"</formula>
    </cfRule>
    <cfRule type="cellIs" dxfId="18" priority="20" operator="equal">
      <formula>"BUY"</formula>
    </cfRule>
    <cfRule type="cellIs" dxfId="17" priority="27" operator="equal">
      <formula>"SELL"</formula>
    </cfRule>
  </conditionalFormatting>
  <conditionalFormatting sqref="K2:K9">
    <cfRule type="cellIs" dxfId="16" priority="10" operator="equal">
      <formula>"HOLD"</formula>
    </cfRule>
    <cfRule type="cellIs" dxfId="15" priority="17" operator="equal">
      <formula>"BUY"</formula>
    </cfRule>
    <cfRule type="cellIs" dxfId="14" priority="24" operator="equal">
      <formula>"SELL"</formula>
    </cfRule>
  </conditionalFormatting>
  <conditionalFormatting sqref="K2:K9">
    <cfRule type="cellIs" dxfId="13" priority="7" operator="equal">
      <formula>"HOLD"</formula>
    </cfRule>
    <cfRule type="cellIs" dxfId="12" priority="14" operator="equal">
      <formula>"BUY"</formula>
    </cfRule>
    <cfRule type="cellIs" dxfId="11" priority="21" operator="equal">
      <formula>"SELL"</formula>
    </cfRule>
  </conditionalFormatting>
  <conditionalFormatting sqref="K2:K9">
    <cfRule type="cellIs" dxfId="10" priority="4" operator="equal">
      <formula>"HOLD"</formula>
    </cfRule>
    <cfRule type="cellIs" dxfId="9" priority="11" operator="equal">
      <formula>"BUY"</formula>
    </cfRule>
    <cfRule type="cellIs" dxfId="8" priority="18" operator="equal">
      <formula>"SELL"</formula>
    </cfRule>
  </conditionalFormatting>
  <conditionalFormatting sqref="K2:K9">
    <cfRule type="cellIs" dxfId="7" priority="8" operator="equal">
      <formula>"BUY"</formula>
    </cfRule>
    <cfRule type="cellIs" dxfId="6" priority="15" operator="equal">
      <formula>"SELL"</formula>
    </cfRule>
  </conditionalFormatting>
  <conditionalFormatting sqref="K2:K9">
    <cfRule type="cellIs" dxfId="5" priority="5" operator="equal">
      <formula>"BUY"</formula>
    </cfRule>
    <cfRule type="cellIs" dxfId="4" priority="12" operator="equal">
      <formula>"SELL"</formula>
    </cfRule>
  </conditionalFormatting>
  <conditionalFormatting sqref="K2:K9">
    <cfRule type="cellIs" dxfId="3" priority="2" operator="equal">
      <formula>"BUY"</formula>
    </cfRule>
    <cfRule type="cellIs" dxfId="2" priority="9" operator="equal">
      <formula>"SELL"</formula>
    </cfRule>
  </conditionalFormatting>
  <conditionalFormatting sqref="K2:K9">
    <cfRule type="cellIs" dxfId="1" priority="6" operator="equal">
      <formula>"SELL"</formula>
    </cfRule>
  </conditionalFormatting>
  <conditionalFormatting sqref="K2:K9">
    <cfRule type="cellIs" dxfId="0" priority="3" operator="equal">
      <formula>"SELL"</formula>
    </cfRule>
  </conditionalFormatting>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locked="0" defaultSize="0" print="0" autoFill="0" autoPict="0" macro="[0]!recommend">
                <anchor moveWithCells="1" sizeWithCells="1">
                  <from>
                    <xdr:col>12</xdr:col>
                    <xdr:colOff>266700</xdr:colOff>
                    <xdr:row>3</xdr:row>
                    <xdr:rowOff>30480</xdr:rowOff>
                  </from>
                  <to>
                    <xdr:col>15</xdr:col>
                    <xdr:colOff>114300</xdr:colOff>
                    <xdr:row>5</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FBDA-882D-437C-BB7D-D87FE752CC58}">
  <sheetPr codeName="Sheet5"/>
  <dimension ref="A1:L12"/>
  <sheetViews>
    <sheetView showGridLines="0" workbookViewId="0">
      <selection activeCell="H22" sqref="H21:H22"/>
    </sheetView>
  </sheetViews>
  <sheetFormatPr defaultRowHeight="14.4" x14ac:dyDescent="0.3"/>
  <cols>
    <col min="1" max="1" width="17.33203125" bestFit="1" customWidth="1"/>
    <col min="2" max="2" width="21.33203125" bestFit="1" customWidth="1"/>
    <col min="3" max="3" width="23.88671875" bestFit="1" customWidth="1"/>
    <col min="4" max="4" width="15.33203125" bestFit="1" customWidth="1"/>
    <col min="5" max="5" width="17.33203125" bestFit="1" customWidth="1"/>
    <col min="6" max="6" width="20.5546875" bestFit="1" customWidth="1"/>
    <col min="8" max="8" width="15.109375" bestFit="1" customWidth="1"/>
    <col min="9" max="9" width="18.77734375" bestFit="1" customWidth="1"/>
    <col min="11" max="11" width="17.33203125" bestFit="1" customWidth="1"/>
    <col min="12" max="12" width="18.44140625" bestFit="1" customWidth="1"/>
  </cols>
  <sheetData>
    <row r="1" spans="1:12" x14ac:dyDescent="0.3">
      <c r="A1" s="40" t="s">
        <v>42</v>
      </c>
      <c r="B1" s="40"/>
      <c r="C1" s="40"/>
      <c r="E1" s="41" t="s">
        <v>43</v>
      </c>
      <c r="F1" s="41"/>
      <c r="H1" s="42" t="s">
        <v>44</v>
      </c>
      <c r="I1" s="42"/>
      <c r="K1" s="43" t="s">
        <v>45</v>
      </c>
      <c r="L1" s="43"/>
    </row>
    <row r="2" spans="1:12" x14ac:dyDescent="0.3">
      <c r="A2" s="40"/>
      <c r="B2" s="40"/>
      <c r="C2" s="40"/>
      <c r="E2" s="41"/>
      <c r="F2" s="41"/>
      <c r="H2" s="42"/>
      <c r="I2" s="42"/>
      <c r="K2" s="43"/>
      <c r="L2" s="43"/>
    </row>
    <row r="3" spans="1:12" ht="18" x14ac:dyDescent="0.35">
      <c r="A3" s="2" t="s">
        <v>34</v>
      </c>
      <c r="B3" s="2" t="s">
        <v>36</v>
      </c>
      <c r="C3" s="2" t="s">
        <v>37</v>
      </c>
      <c r="E3" s="3" t="s">
        <v>34</v>
      </c>
      <c r="F3" s="3" t="s">
        <v>38</v>
      </c>
      <c r="H3" s="4" t="s">
        <v>34</v>
      </c>
      <c r="I3" s="4" t="s">
        <v>39</v>
      </c>
      <c r="K3" s="5" t="s">
        <v>34</v>
      </c>
      <c r="L3" s="5" t="s">
        <v>41</v>
      </c>
    </row>
    <row r="4" spans="1:12" ht="18" x14ac:dyDescent="0.35">
      <c r="A4" s="2" t="s">
        <v>22</v>
      </c>
      <c r="B4" s="2">
        <v>38750</v>
      </c>
      <c r="C4" s="2">
        <v>42750</v>
      </c>
      <c r="E4" s="3" t="s">
        <v>22</v>
      </c>
      <c r="F4" s="3">
        <v>4000</v>
      </c>
      <c r="H4" s="4" t="s">
        <v>22</v>
      </c>
      <c r="I4" s="4">
        <v>10.32258064516129</v>
      </c>
      <c r="K4" s="5" t="s">
        <v>13</v>
      </c>
      <c r="L4" s="5">
        <v>50</v>
      </c>
    </row>
    <row r="5" spans="1:12" ht="18" x14ac:dyDescent="0.35">
      <c r="A5" s="2" t="s">
        <v>25</v>
      </c>
      <c r="B5" s="2">
        <v>44000</v>
      </c>
      <c r="C5" s="2">
        <v>50000</v>
      </c>
      <c r="E5" s="3" t="s">
        <v>25</v>
      </c>
      <c r="F5" s="3">
        <v>6000</v>
      </c>
      <c r="H5" s="4" t="s">
        <v>25</v>
      </c>
      <c r="I5" s="4">
        <v>13.636363636363635</v>
      </c>
      <c r="K5" s="5" t="s">
        <v>20</v>
      </c>
      <c r="L5" s="5">
        <v>303</v>
      </c>
    </row>
    <row r="6" spans="1:12" ht="18" x14ac:dyDescent="0.35">
      <c r="A6" s="2" t="s">
        <v>19</v>
      </c>
      <c r="B6" s="2">
        <v>43500</v>
      </c>
      <c r="C6" s="2">
        <v>48000</v>
      </c>
      <c r="E6" s="3" t="s">
        <v>19</v>
      </c>
      <c r="F6" s="3">
        <v>4500</v>
      </c>
      <c r="H6" s="4" t="s">
        <v>19</v>
      </c>
      <c r="I6" s="4">
        <v>10.344827586206897</v>
      </c>
      <c r="K6" s="5" t="s">
        <v>17</v>
      </c>
      <c r="L6" s="5">
        <v>15</v>
      </c>
    </row>
    <row r="7" spans="1:12" ht="18" x14ac:dyDescent="0.35">
      <c r="A7" s="2" t="s">
        <v>27</v>
      </c>
      <c r="B7" s="2">
        <v>45000</v>
      </c>
      <c r="C7" s="2">
        <v>51000</v>
      </c>
      <c r="E7" s="3" t="s">
        <v>27</v>
      </c>
      <c r="F7" s="3">
        <v>6000</v>
      </c>
      <c r="H7" s="4" t="s">
        <v>27</v>
      </c>
      <c r="I7" s="4">
        <v>13.333333333333334</v>
      </c>
      <c r="K7" s="5" t="s">
        <v>35</v>
      </c>
      <c r="L7" s="5">
        <v>368</v>
      </c>
    </row>
    <row r="8" spans="1:12" ht="18" x14ac:dyDescent="0.35">
      <c r="A8" s="2" t="s">
        <v>11</v>
      </c>
      <c r="B8" s="2">
        <v>125000</v>
      </c>
      <c r="C8" s="2">
        <v>136000</v>
      </c>
      <c r="E8" s="3" t="s">
        <v>11</v>
      </c>
      <c r="F8" s="3">
        <v>11000</v>
      </c>
      <c r="H8" s="4" t="s">
        <v>11</v>
      </c>
      <c r="I8" s="4">
        <v>8.7999999999999989</v>
      </c>
    </row>
    <row r="9" spans="1:12" ht="18" x14ac:dyDescent="0.35">
      <c r="A9" s="2" t="s">
        <v>32</v>
      </c>
      <c r="B9" s="2">
        <v>40600</v>
      </c>
      <c r="C9" s="2">
        <v>45360</v>
      </c>
      <c r="E9" s="3" t="s">
        <v>32</v>
      </c>
      <c r="F9" s="3">
        <v>4760</v>
      </c>
      <c r="H9" s="4" t="s">
        <v>32</v>
      </c>
      <c r="I9" s="4">
        <v>11.724137931034482</v>
      </c>
    </row>
    <row r="10" spans="1:12" ht="18" x14ac:dyDescent="0.35">
      <c r="A10" s="2" t="s">
        <v>15</v>
      </c>
      <c r="B10" s="2">
        <v>57000</v>
      </c>
      <c r="C10" s="2">
        <v>54750</v>
      </c>
      <c r="E10" s="3" t="s">
        <v>15</v>
      </c>
      <c r="F10" s="3">
        <v>-2250</v>
      </c>
      <c r="H10" s="4" t="s">
        <v>15</v>
      </c>
      <c r="I10" s="4">
        <v>-3.9473684210526314</v>
      </c>
    </row>
    <row r="11" spans="1:12" ht="18" x14ac:dyDescent="0.35">
      <c r="A11" s="2" t="s">
        <v>30</v>
      </c>
      <c r="B11" s="2">
        <v>41600</v>
      </c>
      <c r="C11" s="2">
        <v>47200</v>
      </c>
      <c r="E11" s="3" t="s">
        <v>30</v>
      </c>
      <c r="F11" s="3">
        <v>5600</v>
      </c>
      <c r="H11" s="4" t="s">
        <v>30</v>
      </c>
      <c r="I11" s="4">
        <v>13.461538461538462</v>
      </c>
    </row>
    <row r="12" spans="1:12" ht="18" x14ac:dyDescent="0.35">
      <c r="A12" s="2" t="s">
        <v>35</v>
      </c>
      <c r="B12" s="2">
        <v>435450</v>
      </c>
      <c r="C12" s="2">
        <v>475060</v>
      </c>
      <c r="E12" s="3" t="s">
        <v>35</v>
      </c>
      <c r="F12" s="3">
        <v>39610</v>
      </c>
      <c r="H12" s="4" t="s">
        <v>35</v>
      </c>
      <c r="I12" s="4">
        <v>77.675413172585479</v>
      </c>
    </row>
  </sheetData>
  <mergeCells count="4">
    <mergeCell ref="A1:C2"/>
    <mergeCell ref="E1:F2"/>
    <mergeCell ref="H1:I2"/>
    <mergeCell ref="K1: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4BE5D-3692-41B4-8011-0FFF932450A5}">
  <sheetPr codeName="Sheet6"/>
  <dimension ref="A1:W3"/>
  <sheetViews>
    <sheetView showGridLines="0" showRowColHeaders="0" zoomScale="96" zoomScaleNormal="96" workbookViewId="0">
      <selection activeCell="X21" sqref="X21"/>
    </sheetView>
  </sheetViews>
  <sheetFormatPr defaultRowHeight="14.4" x14ac:dyDescent="0.3"/>
  <sheetData>
    <row r="1" spans="1:23" x14ac:dyDescent="0.3">
      <c r="A1" s="17" t="s">
        <v>40</v>
      </c>
      <c r="B1" s="18"/>
      <c r="C1" s="18"/>
      <c r="D1" s="18"/>
      <c r="E1" s="18"/>
      <c r="F1" s="18"/>
      <c r="G1" s="18"/>
      <c r="H1" s="18"/>
      <c r="I1" s="18"/>
      <c r="J1" s="18"/>
      <c r="K1" s="18"/>
      <c r="L1" s="18"/>
      <c r="M1" s="18"/>
      <c r="N1" s="18"/>
      <c r="O1" s="18"/>
      <c r="P1" s="18"/>
      <c r="Q1" s="18"/>
      <c r="R1" s="18"/>
      <c r="S1" s="18"/>
      <c r="T1" s="18"/>
      <c r="U1" s="18"/>
      <c r="V1" s="18"/>
      <c r="W1" s="18"/>
    </row>
    <row r="2" spans="1:23" x14ac:dyDescent="0.3">
      <c r="A2" s="18"/>
      <c r="B2" s="18"/>
      <c r="C2" s="18"/>
      <c r="D2" s="18"/>
      <c r="E2" s="18"/>
      <c r="F2" s="18"/>
      <c r="G2" s="18"/>
      <c r="H2" s="18"/>
      <c r="I2" s="18"/>
      <c r="J2" s="18"/>
      <c r="K2" s="18"/>
      <c r="L2" s="18"/>
      <c r="M2" s="18"/>
      <c r="N2" s="18"/>
      <c r="O2" s="18"/>
      <c r="P2" s="18"/>
      <c r="Q2" s="18"/>
      <c r="R2" s="18"/>
      <c r="S2" s="18"/>
      <c r="T2" s="18"/>
      <c r="U2" s="18"/>
      <c r="V2" s="18"/>
      <c r="W2" s="18"/>
    </row>
    <row r="3" spans="1:23" x14ac:dyDescent="0.3">
      <c r="A3" s="18"/>
      <c r="B3" s="18"/>
      <c r="C3" s="18"/>
      <c r="D3" s="18"/>
      <c r="E3" s="18"/>
      <c r="F3" s="18"/>
      <c r="G3" s="18"/>
      <c r="H3" s="18"/>
      <c r="I3" s="18"/>
      <c r="J3" s="18"/>
      <c r="K3" s="18"/>
      <c r="L3" s="18"/>
      <c r="M3" s="18"/>
      <c r="N3" s="18"/>
      <c r="O3" s="18"/>
      <c r="P3" s="18"/>
      <c r="Q3" s="18"/>
      <c r="R3" s="18"/>
      <c r="S3" s="18"/>
      <c r="T3" s="18"/>
      <c r="U3" s="18"/>
      <c r="V3" s="18"/>
      <c r="W3" s="18"/>
    </row>
  </sheetData>
  <mergeCells count="1">
    <mergeCell ref="A1:W3"/>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43D016-FF8E-43C5-AEB7-045B196881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Home</vt:lpstr>
      <vt:lpstr>Uncleaned Data 1</vt:lpstr>
      <vt:lpstr>Cleaned Data 1</vt:lpstr>
      <vt:lpstr>Cleaned Data 2</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Sarthak Mukherjee</cp:lastModifiedBy>
  <dcterms:created xsi:type="dcterms:W3CDTF">2026-05-17T15:23:48Z</dcterms:created>
  <dcterms:modified xsi:type="dcterms:W3CDTF">2026-05-19T09:46:13Z</dcterms:modified>
</cp:coreProperties>
</file>